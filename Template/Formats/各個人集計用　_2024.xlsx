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22.t-i-w.local\共通\【石渡】経費仮払金\【GPP】経費仮払金\"/>
    </mc:Choice>
  </mc:AlternateContent>
  <xr:revisionPtr revIDLastSave="0" documentId="13_ncr:1_{13F7544C-B93F-4789-87A4-74071A64A538}" xr6:coauthVersionLast="47" xr6:coauthVersionMax="47" xr10:uidLastSave="{00000000-0000-0000-0000-000000000000}"/>
  <bookViews>
    <workbookView xWindow="-120" yWindow="-120" windowWidth="19440" windowHeight="14880" activeTab="4" xr2:uid="{4BD54417-2039-4636-91C4-C005F7BCD885}"/>
  </bookViews>
  <sheets>
    <sheet name="原本" sheetId="8" r:id="rId1"/>
    <sheet name="202404" sheetId="5" r:id="rId2"/>
    <sheet name="202405" sheetId="9" r:id="rId3"/>
    <sheet name="202406" sheetId="10" r:id="rId4"/>
    <sheet name="202407" sheetId="11" r:id="rId5"/>
    <sheet name="集計シート" sheetId="6" state="hidden" r:id="rId6"/>
  </sheets>
  <calcPr calcId="19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8" i="11" l="1"/>
  <c r="Q93" i="11"/>
  <c r="P93" i="11"/>
  <c r="N93" i="11"/>
  <c r="Q92" i="11"/>
  <c r="P92" i="11"/>
  <c r="R92" i="11" s="1"/>
  <c r="N92" i="11"/>
  <c r="Q91" i="11"/>
  <c r="P91" i="11"/>
  <c r="R91" i="11" s="1"/>
  <c r="N91" i="11"/>
  <c r="Q90" i="11"/>
  <c r="P90" i="11"/>
  <c r="R90" i="11" s="1"/>
  <c r="N90" i="11"/>
  <c r="Q89" i="11"/>
  <c r="P89" i="11"/>
  <c r="R89" i="11" s="1"/>
  <c r="N89" i="11"/>
  <c r="Q88" i="11"/>
  <c r="P88" i="11"/>
  <c r="R88" i="11" s="1"/>
  <c r="N88" i="11"/>
  <c r="Q87" i="11"/>
  <c r="P87" i="11"/>
  <c r="N87" i="11"/>
  <c r="Q86" i="11"/>
  <c r="P86" i="11"/>
  <c r="R86" i="11" s="1"/>
  <c r="N86" i="11"/>
  <c r="Q85" i="11"/>
  <c r="P85" i="11"/>
  <c r="R85" i="11" s="1"/>
  <c r="N85" i="11"/>
  <c r="Q84" i="11"/>
  <c r="P84" i="11"/>
  <c r="R84" i="11" s="1"/>
  <c r="N84" i="11"/>
  <c r="Q83" i="11"/>
  <c r="P83" i="11"/>
  <c r="R83" i="11" s="1"/>
  <c r="N83" i="11"/>
  <c r="Q82" i="11"/>
  <c r="P82" i="11"/>
  <c r="R82" i="11" s="1"/>
  <c r="N82" i="11"/>
  <c r="R93" i="11" l="1"/>
  <c r="R87" i="11"/>
  <c r="Q137" i="11" l="1"/>
  <c r="P137" i="11"/>
  <c r="N137" i="11"/>
  <c r="Q136" i="11"/>
  <c r="P136" i="11"/>
  <c r="N136" i="11"/>
  <c r="Q135" i="11"/>
  <c r="P135" i="11"/>
  <c r="N135" i="11"/>
  <c r="Q134" i="11"/>
  <c r="P134" i="11"/>
  <c r="N134" i="11"/>
  <c r="Q133" i="11"/>
  <c r="P133" i="11"/>
  <c r="N133" i="11"/>
  <c r="Q132" i="11"/>
  <c r="P132" i="11"/>
  <c r="N132" i="11"/>
  <c r="Q131" i="11"/>
  <c r="P131" i="11"/>
  <c r="N131" i="11"/>
  <c r="Q130" i="11"/>
  <c r="P130" i="11"/>
  <c r="N130" i="11"/>
  <c r="Q129" i="11"/>
  <c r="P129" i="11"/>
  <c r="N129" i="11"/>
  <c r="R130" i="11" l="1"/>
  <c r="R134" i="11"/>
  <c r="R136" i="11"/>
  <c r="R129" i="11"/>
  <c r="R135" i="11"/>
  <c r="R132" i="11"/>
  <c r="R131" i="11"/>
  <c r="R133" i="11"/>
  <c r="R137" i="11"/>
  <c r="Q80" i="11" l="1"/>
  <c r="P80" i="11"/>
  <c r="N80" i="11"/>
  <c r="Q79" i="11"/>
  <c r="P79" i="11"/>
  <c r="N79" i="11"/>
  <c r="Q78" i="11"/>
  <c r="P78" i="11"/>
  <c r="N78" i="11"/>
  <c r="Q77" i="11"/>
  <c r="P77" i="11"/>
  <c r="N77" i="11"/>
  <c r="Q76" i="11"/>
  <c r="P76" i="11"/>
  <c r="N76" i="11"/>
  <c r="R76" i="11" l="1"/>
  <c r="R78" i="11"/>
  <c r="R80" i="11"/>
  <c r="R77" i="11"/>
  <c r="R79" i="11"/>
  <c r="Q74" i="11"/>
  <c r="P74" i="11"/>
  <c r="N74" i="11"/>
  <c r="Q73" i="11"/>
  <c r="P73" i="11"/>
  <c r="N73" i="11"/>
  <c r="Q72" i="11"/>
  <c r="P72" i="11"/>
  <c r="N72" i="11"/>
  <c r="Q71" i="11"/>
  <c r="P71" i="11"/>
  <c r="N71" i="11"/>
  <c r="Q70" i="11"/>
  <c r="P70" i="11"/>
  <c r="N70" i="11"/>
  <c r="Q69" i="11"/>
  <c r="P69" i="11"/>
  <c r="N69" i="11"/>
  <c r="Q68" i="11"/>
  <c r="P68" i="11"/>
  <c r="N68" i="11"/>
  <c r="Q67" i="11"/>
  <c r="P67" i="11"/>
  <c r="N67" i="11"/>
  <c r="Q66" i="11"/>
  <c r="P66" i="11"/>
  <c r="N66" i="11"/>
  <c r="Q65" i="11"/>
  <c r="P65" i="11"/>
  <c r="N65" i="11"/>
  <c r="Q64" i="11"/>
  <c r="P64" i="11"/>
  <c r="N64" i="11"/>
  <c r="Q63" i="11"/>
  <c r="P63" i="11"/>
  <c r="N63" i="11"/>
  <c r="Q62" i="11"/>
  <c r="P62" i="11"/>
  <c r="N62" i="11"/>
  <c r="Q61" i="11"/>
  <c r="P61" i="11"/>
  <c r="N61" i="11"/>
  <c r="Q60" i="11"/>
  <c r="P60" i="11"/>
  <c r="N60" i="11"/>
  <c r="Q59" i="11"/>
  <c r="P59" i="11"/>
  <c r="N59" i="11"/>
  <c r="Q58" i="11"/>
  <c r="P58" i="11"/>
  <c r="N58" i="11"/>
  <c r="Q57" i="11"/>
  <c r="P57" i="11"/>
  <c r="N57" i="11"/>
  <c r="Q56" i="11"/>
  <c r="P56" i="11"/>
  <c r="N56" i="11"/>
  <c r="Q55" i="11"/>
  <c r="P55" i="11"/>
  <c r="N55" i="11"/>
  <c r="Q54" i="11"/>
  <c r="P54" i="11"/>
  <c r="N54" i="11"/>
  <c r="Q53" i="11"/>
  <c r="P53" i="11"/>
  <c r="N53" i="11"/>
  <c r="Q52" i="11"/>
  <c r="P52" i="11"/>
  <c r="N52" i="11"/>
  <c r="Q51" i="11"/>
  <c r="P51" i="11"/>
  <c r="N51" i="11"/>
  <c r="Q50" i="11"/>
  <c r="P50" i="11"/>
  <c r="N50" i="11"/>
  <c r="Q49" i="11"/>
  <c r="P49" i="11"/>
  <c r="N49" i="11"/>
  <c r="Q48" i="11"/>
  <c r="P48" i="11"/>
  <c r="N48" i="11"/>
  <c r="Q47" i="11"/>
  <c r="P47" i="11"/>
  <c r="N47" i="11"/>
  <c r="Q46" i="11"/>
  <c r="P46" i="11"/>
  <c r="N46" i="11"/>
  <c r="Q45" i="11"/>
  <c r="P45" i="11"/>
  <c r="N45" i="11"/>
  <c r="Q44" i="11"/>
  <c r="P44" i="11"/>
  <c r="N44" i="11"/>
  <c r="Q43" i="11"/>
  <c r="P43" i="11"/>
  <c r="N43" i="11"/>
  <c r="Q42" i="11"/>
  <c r="P42" i="11"/>
  <c r="N42" i="11"/>
  <c r="Q41" i="11"/>
  <c r="P41" i="11"/>
  <c r="N41" i="11"/>
  <c r="Q40" i="11"/>
  <c r="P40" i="11"/>
  <c r="N40" i="11"/>
  <c r="Q39" i="11"/>
  <c r="P39" i="11"/>
  <c r="N39" i="11"/>
  <c r="Q38" i="11"/>
  <c r="P38" i="11"/>
  <c r="N38" i="11"/>
  <c r="Q37" i="11"/>
  <c r="P37" i="11"/>
  <c r="N37" i="11"/>
  <c r="Q36" i="11"/>
  <c r="P36" i="11"/>
  <c r="N36" i="11"/>
  <c r="Q35" i="11"/>
  <c r="P35" i="11"/>
  <c r="N35" i="11"/>
  <c r="Q34" i="11"/>
  <c r="P34" i="11"/>
  <c r="N34" i="11"/>
  <c r="Q33" i="11"/>
  <c r="P33" i="11"/>
  <c r="N33" i="11"/>
  <c r="Q32" i="11"/>
  <c r="P32" i="11"/>
  <c r="N32" i="11"/>
  <c r="Q31" i="11"/>
  <c r="P31" i="11"/>
  <c r="N31" i="11"/>
  <c r="Q30" i="11"/>
  <c r="P30" i="11"/>
  <c r="N30" i="11"/>
  <c r="Q29" i="11"/>
  <c r="P29" i="11"/>
  <c r="N29" i="11"/>
  <c r="Q28" i="11"/>
  <c r="P28" i="11"/>
  <c r="N28" i="11"/>
  <c r="Q27" i="11"/>
  <c r="P27" i="11"/>
  <c r="N27" i="11"/>
  <c r="Q26" i="11"/>
  <c r="P26" i="11"/>
  <c r="N26" i="11"/>
  <c r="Q25" i="11"/>
  <c r="P25" i="11"/>
  <c r="N25" i="11"/>
  <c r="Q24" i="11"/>
  <c r="P24" i="11"/>
  <c r="N24" i="11"/>
  <c r="Q23" i="11"/>
  <c r="P23" i="11"/>
  <c r="N23" i="11"/>
  <c r="Q22" i="11"/>
  <c r="P22" i="11"/>
  <c r="N22" i="11"/>
  <c r="Q21" i="11"/>
  <c r="P21" i="11"/>
  <c r="N21" i="11"/>
  <c r="Q20" i="11"/>
  <c r="P20" i="11"/>
  <c r="N20" i="11"/>
  <c r="Q19" i="11"/>
  <c r="P19" i="11"/>
  <c r="N19" i="11"/>
  <c r="Q18" i="11"/>
  <c r="P18" i="11"/>
  <c r="N18" i="11"/>
  <c r="Q17" i="11"/>
  <c r="P17" i="11"/>
  <c r="N17" i="11"/>
  <c r="Q16" i="11"/>
  <c r="P16" i="11"/>
  <c r="N16" i="11"/>
  <c r="Q15" i="11"/>
  <c r="P15" i="11"/>
  <c r="N15" i="11"/>
  <c r="Q14" i="11"/>
  <c r="P14" i="11"/>
  <c r="N14" i="11"/>
  <c r="R17" i="11" l="1"/>
  <c r="R48" i="11"/>
  <c r="R54" i="11"/>
  <c r="R56" i="11"/>
  <c r="R58" i="11"/>
  <c r="R60" i="11"/>
  <c r="R62" i="11"/>
  <c r="R64" i="11"/>
  <c r="R66" i="11"/>
  <c r="R72" i="11"/>
  <c r="R74" i="11"/>
  <c r="R23" i="11"/>
  <c r="R29" i="11"/>
  <c r="R35" i="11"/>
  <c r="R41" i="11"/>
  <c r="R47" i="11"/>
  <c r="R49" i="11"/>
  <c r="R51" i="11"/>
  <c r="R53" i="11"/>
  <c r="R55" i="11"/>
  <c r="R57" i="11"/>
  <c r="R63" i="11"/>
  <c r="R65" i="11"/>
  <c r="R67" i="11"/>
  <c r="R69" i="11"/>
  <c r="R71" i="11"/>
  <c r="R73" i="11"/>
  <c r="R61" i="11"/>
  <c r="R52" i="11"/>
  <c r="R70" i="11"/>
  <c r="R16" i="11"/>
  <c r="R18" i="11"/>
  <c r="R22" i="11"/>
  <c r="R24" i="11"/>
  <c r="R28" i="11"/>
  <c r="R30" i="11"/>
  <c r="R34" i="11"/>
  <c r="R36" i="11"/>
  <c r="R40" i="11"/>
  <c r="R42" i="11"/>
  <c r="R46" i="11"/>
  <c r="R50" i="11"/>
  <c r="R59" i="11"/>
  <c r="R68" i="11"/>
  <c r="R14" i="11"/>
  <c r="R20" i="11"/>
  <c r="R26" i="11"/>
  <c r="R32" i="11"/>
  <c r="R38" i="11"/>
  <c r="R44" i="11"/>
  <c r="R15" i="11"/>
  <c r="R19" i="11"/>
  <c r="R21" i="11"/>
  <c r="R25" i="11"/>
  <c r="R27" i="11"/>
  <c r="R31" i="11"/>
  <c r="R33" i="11"/>
  <c r="R37" i="11"/>
  <c r="R39" i="11"/>
  <c r="R43" i="11"/>
  <c r="R45" i="11"/>
  <c r="Q12" i="11" l="1"/>
  <c r="P12" i="11"/>
  <c r="N12" i="11"/>
  <c r="Q11" i="11"/>
  <c r="P11" i="11"/>
  <c r="N11" i="11"/>
  <c r="Q10" i="11"/>
  <c r="P10" i="11"/>
  <c r="N10" i="11"/>
  <c r="Q9" i="11"/>
  <c r="P9" i="11"/>
  <c r="N9" i="11"/>
  <c r="Q8" i="11"/>
  <c r="P8" i="11"/>
  <c r="N8" i="11"/>
  <c r="Q7" i="11"/>
  <c r="P7" i="11"/>
  <c r="N7" i="11"/>
  <c r="Q6" i="11"/>
  <c r="P6" i="11"/>
  <c r="N6" i="11"/>
  <c r="Q5" i="11"/>
  <c r="P5" i="11"/>
  <c r="N5" i="11"/>
  <c r="Q4" i="11"/>
  <c r="P4" i="11"/>
  <c r="N4" i="11"/>
  <c r="Q3" i="11"/>
  <c r="P3" i="11"/>
  <c r="N3" i="11"/>
  <c r="R3" i="11" l="1"/>
  <c r="R7" i="11"/>
  <c r="R9" i="11"/>
  <c r="R11" i="11"/>
  <c r="R4" i="11"/>
  <c r="R6" i="11"/>
  <c r="R12" i="11"/>
  <c r="R10" i="11"/>
  <c r="R5" i="11"/>
  <c r="R8" i="11"/>
  <c r="M140" i="11"/>
  <c r="L140" i="11"/>
  <c r="K140" i="11"/>
  <c r="G140" i="11"/>
  <c r="N139" i="11"/>
  <c r="N13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3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81" i="11"/>
  <c r="N75" i="11"/>
  <c r="N13" i="11"/>
  <c r="N2" i="11"/>
  <c r="Q164" i="10"/>
  <c r="P164" i="10"/>
  <c r="R164" i="10" s="1"/>
  <c r="N164" i="10"/>
  <c r="G164" i="10"/>
  <c r="Q163" i="10"/>
  <c r="R163" i="10" s="1"/>
  <c r="P163" i="10"/>
  <c r="N163" i="10"/>
  <c r="Q162" i="10"/>
  <c r="P162" i="10"/>
  <c r="R162" i="10" s="1"/>
  <c r="N162" i="10"/>
  <c r="Q161" i="10"/>
  <c r="R161" i="10" s="1"/>
  <c r="P161" i="10"/>
  <c r="N161" i="10"/>
  <c r="Q160" i="10"/>
  <c r="P160" i="10"/>
  <c r="R160" i="10" s="1"/>
  <c r="N160" i="10"/>
  <c r="Q159" i="10"/>
  <c r="P159" i="10"/>
  <c r="R159" i="10" s="1"/>
  <c r="N159" i="10"/>
  <c r="Q158" i="10"/>
  <c r="P158" i="10"/>
  <c r="N158" i="10"/>
  <c r="Q157" i="10"/>
  <c r="R157" i="10" s="1"/>
  <c r="P157" i="10"/>
  <c r="N157" i="10"/>
  <c r="Q156" i="10"/>
  <c r="P156" i="10"/>
  <c r="R156" i="10" s="1"/>
  <c r="N156" i="10"/>
  <c r="Q155" i="10"/>
  <c r="R155" i="10" s="1"/>
  <c r="P155" i="10"/>
  <c r="N155" i="10"/>
  <c r="Q154" i="10"/>
  <c r="R154" i="10" s="1"/>
  <c r="P154" i="10"/>
  <c r="N154" i="10"/>
  <c r="Q153" i="10"/>
  <c r="P153" i="10"/>
  <c r="R153" i="10" s="1"/>
  <c r="N153" i="10"/>
  <c r="Q152" i="10"/>
  <c r="R152" i="10" s="1"/>
  <c r="P152" i="10"/>
  <c r="N152" i="10"/>
  <c r="Q151" i="10"/>
  <c r="P151" i="10"/>
  <c r="R151" i="10" s="1"/>
  <c r="N151" i="10"/>
  <c r="Q150" i="10"/>
  <c r="P150" i="10"/>
  <c r="R150" i="10" s="1"/>
  <c r="N150" i="10"/>
  <c r="Q149" i="10"/>
  <c r="P149" i="10"/>
  <c r="N149" i="10"/>
  <c r="Q148" i="10"/>
  <c r="P148" i="10"/>
  <c r="R148" i="10" s="1"/>
  <c r="N148" i="10"/>
  <c r="Q147" i="10"/>
  <c r="P147" i="10"/>
  <c r="R147" i="10" s="1"/>
  <c r="N147" i="10"/>
  <c r="Q146" i="10"/>
  <c r="R146" i="10" s="1"/>
  <c r="P146" i="10"/>
  <c r="N146" i="10"/>
  <c r="Q145" i="10"/>
  <c r="R145" i="10" s="1"/>
  <c r="P145" i="10"/>
  <c r="N145" i="10"/>
  <c r="Q144" i="10"/>
  <c r="P144" i="10"/>
  <c r="R144" i="10" s="1"/>
  <c r="N144" i="10"/>
  <c r="Q143" i="10"/>
  <c r="P143" i="10"/>
  <c r="N143" i="10"/>
  <c r="Q142" i="10"/>
  <c r="P142" i="10"/>
  <c r="R142" i="10" s="1"/>
  <c r="N142" i="10"/>
  <c r="Q141" i="10"/>
  <c r="P141" i="10"/>
  <c r="N141" i="10"/>
  <c r="Q140" i="10"/>
  <c r="P140" i="10"/>
  <c r="R140" i="10" s="1"/>
  <c r="N140" i="10"/>
  <c r="Q139" i="10"/>
  <c r="P139" i="10"/>
  <c r="N139" i="10"/>
  <c r="Q138" i="10"/>
  <c r="P138" i="10"/>
  <c r="N138" i="10"/>
  <c r="Q137" i="10"/>
  <c r="P137" i="10"/>
  <c r="R137" i="10" s="1"/>
  <c r="N137" i="10"/>
  <c r="Q136" i="10"/>
  <c r="P136" i="10"/>
  <c r="R136" i="10" s="1"/>
  <c r="N136" i="10"/>
  <c r="Q135" i="10"/>
  <c r="P135" i="10"/>
  <c r="N135" i="10"/>
  <c r="Q134" i="10"/>
  <c r="P134" i="10"/>
  <c r="R134" i="10" s="1"/>
  <c r="N134" i="10"/>
  <c r="Q133" i="10"/>
  <c r="P133" i="10"/>
  <c r="R133" i="10" s="1"/>
  <c r="N133" i="10"/>
  <c r="Q132" i="10"/>
  <c r="P132" i="10"/>
  <c r="N132" i="10"/>
  <c r="Q131" i="10"/>
  <c r="P131" i="10"/>
  <c r="N131" i="10"/>
  <c r="Q130" i="10"/>
  <c r="P130" i="10"/>
  <c r="N130" i="10"/>
  <c r="Q129" i="10"/>
  <c r="P129" i="10"/>
  <c r="N129" i="10"/>
  <c r="Q128" i="10"/>
  <c r="P128" i="10"/>
  <c r="R128" i="10" s="1"/>
  <c r="N128" i="10"/>
  <c r="Q127" i="10"/>
  <c r="P127" i="10"/>
  <c r="N127" i="10"/>
  <c r="Q126" i="10"/>
  <c r="P126" i="10"/>
  <c r="N126" i="10"/>
  <c r="Q125" i="10"/>
  <c r="P125" i="10"/>
  <c r="N125" i="10"/>
  <c r="Q124" i="10"/>
  <c r="P124" i="10"/>
  <c r="R124" i="10" s="1"/>
  <c r="N124" i="10"/>
  <c r="Q123" i="10"/>
  <c r="P123" i="10"/>
  <c r="N123" i="10"/>
  <c r="Q122" i="10"/>
  <c r="P122" i="10"/>
  <c r="N122" i="10"/>
  <c r="Q121" i="10"/>
  <c r="P121" i="10"/>
  <c r="N121" i="10"/>
  <c r="Q120" i="10"/>
  <c r="P120" i="10"/>
  <c r="N120" i="10"/>
  <c r="R119" i="10"/>
  <c r="Q119" i="10"/>
  <c r="P119" i="10"/>
  <c r="N119" i="10"/>
  <c r="Q118" i="10"/>
  <c r="P118" i="10"/>
  <c r="N118" i="10"/>
  <c r="Q117" i="10"/>
  <c r="R117" i="10" s="1"/>
  <c r="P117" i="10"/>
  <c r="N117" i="10"/>
  <c r="Q116" i="10"/>
  <c r="P116" i="10"/>
  <c r="N116" i="10"/>
  <c r="Q115" i="10"/>
  <c r="P115" i="10"/>
  <c r="N115" i="10"/>
  <c r="Q114" i="10"/>
  <c r="P114" i="10"/>
  <c r="N114" i="10"/>
  <c r="Q113" i="10"/>
  <c r="R113" i="10" s="1"/>
  <c r="P113" i="10"/>
  <c r="N113" i="10"/>
  <c r="Q112" i="10"/>
  <c r="P112" i="10"/>
  <c r="N112" i="10"/>
  <c r="Q111" i="10"/>
  <c r="R111" i="10" s="1"/>
  <c r="P111" i="10"/>
  <c r="N111" i="10"/>
  <c r="Q110" i="10"/>
  <c r="P110" i="10"/>
  <c r="R110" i="10" s="1"/>
  <c r="N110" i="10"/>
  <c r="Q109" i="10"/>
  <c r="P109" i="10"/>
  <c r="R109" i="10" s="1"/>
  <c r="N109" i="10"/>
  <c r="Q108" i="10"/>
  <c r="P108" i="10"/>
  <c r="N108" i="10"/>
  <c r="Q107" i="10"/>
  <c r="P107" i="10"/>
  <c r="N107" i="10"/>
  <c r="Q106" i="10"/>
  <c r="P106" i="10"/>
  <c r="N106" i="10"/>
  <c r="Q105" i="10"/>
  <c r="P105" i="10"/>
  <c r="N105" i="10"/>
  <c r="Q104" i="10"/>
  <c r="P104" i="10"/>
  <c r="N104" i="10"/>
  <c r="Q103" i="10"/>
  <c r="P103" i="10"/>
  <c r="R103" i="10" s="1"/>
  <c r="N103" i="10"/>
  <c r="Q102" i="10"/>
  <c r="P102" i="10"/>
  <c r="R102" i="10" s="1"/>
  <c r="N102" i="10"/>
  <c r="Q101" i="10"/>
  <c r="P101" i="10"/>
  <c r="N101" i="10"/>
  <c r="Q100" i="10"/>
  <c r="P100" i="10"/>
  <c r="R100" i="10" s="1"/>
  <c r="N100" i="10"/>
  <c r="Q99" i="10"/>
  <c r="P99" i="10"/>
  <c r="R99" i="10" s="1"/>
  <c r="N99" i="10"/>
  <c r="Q98" i="10"/>
  <c r="P98" i="10"/>
  <c r="N98" i="10"/>
  <c r="Q97" i="10"/>
  <c r="P97" i="10"/>
  <c r="N97" i="10"/>
  <c r="Q96" i="10"/>
  <c r="P96" i="10"/>
  <c r="N96" i="10"/>
  <c r="Q95" i="10"/>
  <c r="P95" i="10"/>
  <c r="N95" i="10"/>
  <c r="Q94" i="10"/>
  <c r="P94" i="10"/>
  <c r="N94" i="10"/>
  <c r="Q93" i="10"/>
  <c r="P93" i="10"/>
  <c r="N93" i="10"/>
  <c r="Q92" i="10"/>
  <c r="P92" i="10"/>
  <c r="N92" i="10"/>
  <c r="Q91" i="10"/>
  <c r="P91" i="10"/>
  <c r="N91" i="10"/>
  <c r="Q90" i="10"/>
  <c r="P90" i="10"/>
  <c r="N90" i="10"/>
  <c r="Q89" i="10"/>
  <c r="P89" i="10"/>
  <c r="N89" i="10"/>
  <c r="Q88" i="10"/>
  <c r="P88" i="10"/>
  <c r="N88" i="10"/>
  <c r="Q87" i="10"/>
  <c r="P87" i="10"/>
  <c r="N87" i="10"/>
  <c r="Q86" i="10"/>
  <c r="P86" i="10"/>
  <c r="N86" i="10"/>
  <c r="Q85" i="10"/>
  <c r="P85" i="10"/>
  <c r="N85" i="10"/>
  <c r="Q84" i="10"/>
  <c r="P84" i="10"/>
  <c r="N84" i="10"/>
  <c r="Q83" i="10"/>
  <c r="P83" i="10"/>
  <c r="N83" i="10"/>
  <c r="Q82" i="10"/>
  <c r="P82" i="10"/>
  <c r="N82" i="10"/>
  <c r="Q81" i="10"/>
  <c r="P81" i="10"/>
  <c r="N81" i="10"/>
  <c r="Q80" i="10"/>
  <c r="P80" i="10"/>
  <c r="N80" i="10"/>
  <c r="Q79" i="10"/>
  <c r="P79" i="10"/>
  <c r="N79" i="10"/>
  <c r="Q78" i="10"/>
  <c r="P78" i="10"/>
  <c r="N78" i="10"/>
  <c r="Q77" i="10"/>
  <c r="P77" i="10"/>
  <c r="N77" i="10"/>
  <c r="Q76" i="10"/>
  <c r="P76" i="10"/>
  <c r="N76" i="10"/>
  <c r="Q75" i="10"/>
  <c r="P75" i="10"/>
  <c r="N75" i="10"/>
  <c r="Q74" i="10"/>
  <c r="P74" i="10"/>
  <c r="N74" i="10"/>
  <c r="Q73" i="10"/>
  <c r="P73" i="10"/>
  <c r="N73" i="10"/>
  <c r="N140" i="11" l="1"/>
  <c r="R120" i="10"/>
  <c r="R122" i="10"/>
  <c r="R126" i="10"/>
  <c r="R91" i="10"/>
  <c r="R115" i="10"/>
  <c r="R149" i="10"/>
  <c r="R158" i="10"/>
  <c r="R125" i="10"/>
  <c r="R127" i="10"/>
  <c r="R138" i="10"/>
  <c r="R104" i="10"/>
  <c r="R106" i="10"/>
  <c r="R116" i="10"/>
  <c r="R118" i="10"/>
  <c r="R129" i="10"/>
  <c r="R131" i="10"/>
  <c r="R143" i="10"/>
  <c r="R92" i="10"/>
  <c r="R98" i="10"/>
  <c r="R108" i="10"/>
  <c r="R73" i="10"/>
  <c r="R75" i="10"/>
  <c r="R79" i="10"/>
  <c r="R81" i="10"/>
  <c r="R85" i="10"/>
  <c r="R87" i="10"/>
  <c r="R112" i="10"/>
  <c r="R121" i="10"/>
  <c r="R130" i="10"/>
  <c r="R135" i="10"/>
  <c r="R139" i="10"/>
  <c r="R97" i="10"/>
  <c r="R114" i="10"/>
  <c r="R123" i="10"/>
  <c r="R132" i="10"/>
  <c r="R141" i="10"/>
  <c r="R95" i="10"/>
  <c r="R76" i="10"/>
  <c r="R78" i="10"/>
  <c r="R82" i="10"/>
  <c r="R84" i="10"/>
  <c r="R88" i="10"/>
  <c r="R90" i="10"/>
  <c r="R107" i="10"/>
  <c r="R77" i="10"/>
  <c r="R83" i="10"/>
  <c r="R89" i="10"/>
  <c r="R93" i="10"/>
  <c r="R74" i="10"/>
  <c r="R80" i="10"/>
  <c r="R86" i="10"/>
  <c r="R94" i="10"/>
  <c r="R96" i="10"/>
  <c r="R101" i="10"/>
  <c r="R105" i="10"/>
  <c r="Q70" i="10" l="1"/>
  <c r="P70" i="10"/>
  <c r="R70" i="10" s="1"/>
  <c r="N70" i="10"/>
  <c r="Q69" i="10"/>
  <c r="P69" i="10"/>
  <c r="R69" i="10" s="1"/>
  <c r="N69" i="10"/>
  <c r="Q68" i="10"/>
  <c r="P68" i="10"/>
  <c r="N68" i="10"/>
  <c r="Q67" i="10"/>
  <c r="P67" i="10"/>
  <c r="R67" i="10" s="1"/>
  <c r="N67" i="10"/>
  <c r="Q66" i="10"/>
  <c r="P66" i="10"/>
  <c r="N66" i="10"/>
  <c r="Q65" i="10"/>
  <c r="P65" i="10"/>
  <c r="N65" i="10"/>
  <c r="Q64" i="10"/>
  <c r="P64" i="10"/>
  <c r="R64" i="10" s="1"/>
  <c r="N64" i="10"/>
  <c r="Q63" i="10"/>
  <c r="P63" i="10"/>
  <c r="R63" i="10" s="1"/>
  <c r="N63" i="10"/>
  <c r="Q62" i="10"/>
  <c r="P62" i="10"/>
  <c r="N62" i="10"/>
  <c r="Q61" i="10"/>
  <c r="P61" i="10"/>
  <c r="R61" i="10" s="1"/>
  <c r="N61" i="10"/>
  <c r="Q60" i="10"/>
  <c r="P60" i="10"/>
  <c r="R60" i="10" s="1"/>
  <c r="N60" i="10"/>
  <c r="Q59" i="10"/>
  <c r="P59" i="10"/>
  <c r="N59" i="10"/>
  <c r="Q58" i="10"/>
  <c r="P58" i="10"/>
  <c r="R58" i="10" s="1"/>
  <c r="N58" i="10"/>
  <c r="Q57" i="10"/>
  <c r="P57" i="10"/>
  <c r="R57" i="10" s="1"/>
  <c r="N57" i="10"/>
  <c r="Q56" i="10"/>
  <c r="P56" i="10"/>
  <c r="N56" i="10"/>
  <c r="Q55" i="10"/>
  <c r="P55" i="10"/>
  <c r="R55" i="10" s="1"/>
  <c r="N55" i="10"/>
  <c r="Q54" i="10"/>
  <c r="P54" i="10"/>
  <c r="R54" i="10" s="1"/>
  <c r="N54" i="10"/>
  <c r="Q53" i="10"/>
  <c r="P53" i="10"/>
  <c r="N53" i="10"/>
  <c r="Q52" i="10"/>
  <c r="P52" i="10"/>
  <c r="R52" i="10" s="1"/>
  <c r="N52" i="10"/>
  <c r="Q51" i="10"/>
  <c r="P51" i="10"/>
  <c r="R51" i="10" s="1"/>
  <c r="N51" i="10"/>
  <c r="Q50" i="10"/>
  <c r="P50" i="10"/>
  <c r="N50" i="10"/>
  <c r="Q49" i="10"/>
  <c r="P49" i="10"/>
  <c r="R49" i="10" s="1"/>
  <c r="N49" i="10"/>
  <c r="Q48" i="10"/>
  <c r="P48" i="10"/>
  <c r="R48" i="10" s="1"/>
  <c r="N48" i="10"/>
  <c r="Q47" i="10"/>
  <c r="P47" i="10"/>
  <c r="N47" i="10"/>
  <c r="Q46" i="10"/>
  <c r="P46" i="10"/>
  <c r="R46" i="10" s="1"/>
  <c r="N46" i="10"/>
  <c r="Q45" i="10"/>
  <c r="P45" i="10"/>
  <c r="R45" i="10" s="1"/>
  <c r="N45" i="10"/>
  <c r="R47" i="10" l="1"/>
  <c r="R53" i="10"/>
  <c r="R59" i="10"/>
  <c r="R65" i="10"/>
  <c r="R66" i="10"/>
  <c r="R50" i="10"/>
  <c r="R56" i="10"/>
  <c r="R62" i="10"/>
  <c r="R68" i="10"/>
  <c r="Q42" i="10"/>
  <c r="P42" i="10"/>
  <c r="N42" i="10"/>
  <c r="Q41" i="10"/>
  <c r="P41" i="10"/>
  <c r="N41" i="10"/>
  <c r="Q38" i="10"/>
  <c r="P38" i="10"/>
  <c r="N38" i="10"/>
  <c r="Q37" i="10"/>
  <c r="P37" i="10"/>
  <c r="N37" i="10"/>
  <c r="Q36" i="10"/>
  <c r="P36" i="10"/>
  <c r="N36" i="10"/>
  <c r="Q35" i="10"/>
  <c r="P35" i="10"/>
  <c r="N35" i="10"/>
  <c r="Q34" i="10"/>
  <c r="P34" i="10"/>
  <c r="N34" i="10"/>
  <c r="Q33" i="10"/>
  <c r="P33" i="10"/>
  <c r="N33" i="10"/>
  <c r="Q32" i="10"/>
  <c r="P32" i="10"/>
  <c r="R32" i="10" s="1"/>
  <c r="N32" i="10"/>
  <c r="Q31" i="10"/>
  <c r="P31" i="10"/>
  <c r="R31" i="10" s="1"/>
  <c r="N31" i="10"/>
  <c r="Q30" i="10"/>
  <c r="P30" i="10"/>
  <c r="R30" i="10" s="1"/>
  <c r="N30" i="10"/>
  <c r="Q29" i="10"/>
  <c r="P29" i="10"/>
  <c r="R29" i="10" s="1"/>
  <c r="N29" i="10"/>
  <c r="Q28" i="10"/>
  <c r="P28" i="10"/>
  <c r="N28" i="10"/>
  <c r="Q27" i="10"/>
  <c r="P27" i="10"/>
  <c r="R27" i="10" s="1"/>
  <c r="N27" i="10"/>
  <c r="Q26" i="10"/>
  <c r="P26" i="10"/>
  <c r="R26" i="10" s="1"/>
  <c r="N26" i="10"/>
  <c r="Q25" i="10"/>
  <c r="P25" i="10"/>
  <c r="R25" i="10" s="1"/>
  <c r="N25" i="10"/>
  <c r="Q24" i="10"/>
  <c r="P24" i="10"/>
  <c r="N24" i="10"/>
  <c r="Q23" i="10"/>
  <c r="P23" i="10"/>
  <c r="N23" i="10"/>
  <c r="R38" i="10" l="1"/>
  <c r="R33" i="10"/>
  <c r="R37" i="10"/>
  <c r="R41" i="10"/>
  <c r="R23" i="10"/>
  <c r="R28" i="10"/>
  <c r="R34" i="10"/>
  <c r="R36" i="10"/>
  <c r="R42" i="10"/>
  <c r="R35" i="10"/>
  <c r="R24" i="10"/>
  <c r="M166" i="10" l="1"/>
  <c r="L166" i="10"/>
  <c r="K166" i="10"/>
  <c r="G166" i="10"/>
  <c r="N165" i="10"/>
  <c r="N72" i="10"/>
  <c r="N71" i="10"/>
  <c r="N44" i="10"/>
  <c r="N43" i="10"/>
  <c r="N40" i="10"/>
  <c r="N39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236" i="9"/>
  <c r="P236" i="9"/>
  <c r="R236" i="9" s="1"/>
  <c r="Q235" i="9"/>
  <c r="P235" i="9"/>
  <c r="R235" i="9" s="1"/>
  <c r="R234" i="9"/>
  <c r="Q234" i="9"/>
  <c r="P234" i="9"/>
  <c r="R233" i="9"/>
  <c r="Q233" i="9"/>
  <c r="P233" i="9"/>
  <c r="N238" i="9"/>
  <c r="N237" i="9"/>
  <c r="N236" i="9"/>
  <c r="N235" i="9"/>
  <c r="N234" i="9"/>
  <c r="N233" i="9"/>
  <c r="M239" i="9"/>
  <c r="L239" i="9"/>
  <c r="K239" i="9"/>
  <c r="G239" i="9"/>
  <c r="Q40" i="9"/>
  <c r="P40" i="9"/>
  <c r="N40" i="9"/>
  <c r="Q39" i="9"/>
  <c r="P39" i="9"/>
  <c r="N39" i="9"/>
  <c r="Q38" i="9"/>
  <c r="P38" i="9"/>
  <c r="N38" i="9"/>
  <c r="Q37" i="9"/>
  <c r="P37" i="9"/>
  <c r="N37" i="9"/>
  <c r="Q35" i="9"/>
  <c r="P35" i="9"/>
  <c r="N35" i="9"/>
  <c r="Q34" i="9"/>
  <c r="P34" i="9"/>
  <c r="N34" i="9"/>
  <c r="Q33" i="9"/>
  <c r="P33" i="9"/>
  <c r="N33" i="9"/>
  <c r="Q32" i="9"/>
  <c r="P32" i="9"/>
  <c r="N32" i="9"/>
  <c r="Q31" i="9"/>
  <c r="P31" i="9"/>
  <c r="N31" i="9"/>
  <c r="Q30" i="9"/>
  <c r="P30" i="9"/>
  <c r="N30" i="9"/>
  <c r="Q29" i="9"/>
  <c r="P29" i="9"/>
  <c r="N29" i="9"/>
  <c r="Q28" i="9"/>
  <c r="P28" i="9"/>
  <c r="N28" i="9"/>
  <c r="Q27" i="9"/>
  <c r="P27" i="9"/>
  <c r="N27" i="9"/>
  <c r="Q26" i="9"/>
  <c r="P26" i="9"/>
  <c r="N26" i="9"/>
  <c r="Q25" i="9"/>
  <c r="P25" i="9"/>
  <c r="N25" i="9"/>
  <c r="Q24" i="9"/>
  <c r="P24" i="9"/>
  <c r="N24" i="9"/>
  <c r="Q23" i="9"/>
  <c r="P23" i="9"/>
  <c r="N23" i="9"/>
  <c r="Q22" i="9"/>
  <c r="P22" i="9"/>
  <c r="N22" i="9"/>
  <c r="Q21" i="9"/>
  <c r="P21" i="9"/>
  <c r="N21" i="9"/>
  <c r="Q20" i="9"/>
  <c r="P20" i="9"/>
  <c r="N20" i="9"/>
  <c r="Q19" i="9"/>
  <c r="P19" i="9"/>
  <c r="N19" i="9"/>
  <c r="Q18" i="9"/>
  <c r="P18" i="9"/>
  <c r="N18" i="9"/>
  <c r="Q17" i="9"/>
  <c r="P17" i="9"/>
  <c r="N17" i="9"/>
  <c r="Q16" i="9"/>
  <c r="P16" i="9"/>
  <c r="N16" i="9"/>
  <c r="Q15" i="9"/>
  <c r="P15" i="9"/>
  <c r="N15" i="9"/>
  <c r="Q14" i="9"/>
  <c r="P14" i="9"/>
  <c r="N14" i="9"/>
  <c r="Q13" i="9"/>
  <c r="P13" i="9"/>
  <c r="N13" i="9"/>
  <c r="Q12" i="9"/>
  <c r="P12" i="9"/>
  <c r="N12" i="9"/>
  <c r="Q11" i="9"/>
  <c r="P11" i="9"/>
  <c r="N11" i="9"/>
  <c r="Q10" i="9"/>
  <c r="P10" i="9"/>
  <c r="N10" i="9"/>
  <c r="Q9" i="9"/>
  <c r="P9" i="9"/>
  <c r="N9" i="9"/>
  <c r="Q8" i="9"/>
  <c r="P8" i="9"/>
  <c r="N8" i="9"/>
  <c r="Q7" i="9"/>
  <c r="P7" i="9"/>
  <c r="N7" i="9"/>
  <c r="Q6" i="9"/>
  <c r="P6" i="9"/>
  <c r="N6" i="9"/>
  <c r="Q5" i="9"/>
  <c r="P5" i="9"/>
  <c r="N5" i="9"/>
  <c r="Q4" i="9"/>
  <c r="P4" i="9"/>
  <c r="N4" i="9"/>
  <c r="Q3" i="9"/>
  <c r="P3" i="9"/>
  <c r="N3" i="9"/>
  <c r="N166" i="10" l="1"/>
  <c r="R6" i="9"/>
  <c r="R8" i="9"/>
  <c r="R10" i="9"/>
  <c r="R12" i="9"/>
  <c r="R14" i="9"/>
  <c r="R16" i="9"/>
  <c r="R18" i="9"/>
  <c r="R22" i="9"/>
  <c r="R24" i="9"/>
  <c r="R26" i="9"/>
  <c r="R37" i="9"/>
  <c r="R39" i="9"/>
  <c r="R9" i="9"/>
  <c r="R27" i="9"/>
  <c r="R38" i="9"/>
  <c r="R40" i="9"/>
  <c r="R13" i="9"/>
  <c r="R15" i="9"/>
  <c r="R17" i="9"/>
  <c r="R19" i="9"/>
  <c r="R21" i="9"/>
  <c r="R23" i="9"/>
  <c r="R31" i="9"/>
  <c r="R3" i="9"/>
  <c r="R5" i="9"/>
  <c r="R7" i="9"/>
  <c r="R28" i="9"/>
  <c r="R30" i="9"/>
  <c r="R32" i="9"/>
  <c r="R34" i="9"/>
  <c r="R25" i="9"/>
  <c r="R33" i="9"/>
  <c r="R11" i="9"/>
  <c r="R20" i="9"/>
  <c r="R29" i="9"/>
  <c r="R4" i="9"/>
  <c r="R35" i="9"/>
  <c r="Q232" i="9" l="1"/>
  <c r="P232" i="9"/>
  <c r="N232" i="9"/>
  <c r="Q231" i="9"/>
  <c r="P231" i="9"/>
  <c r="N231" i="9"/>
  <c r="Q230" i="9"/>
  <c r="P230" i="9"/>
  <c r="N230" i="9"/>
  <c r="Q229" i="9"/>
  <c r="P229" i="9"/>
  <c r="N229" i="9"/>
  <c r="Q228" i="9"/>
  <c r="P228" i="9"/>
  <c r="N228" i="9"/>
  <c r="Q227" i="9"/>
  <c r="P227" i="9"/>
  <c r="N227" i="9"/>
  <c r="Q226" i="9"/>
  <c r="P226" i="9"/>
  <c r="N226" i="9"/>
  <c r="Q225" i="9"/>
  <c r="P225" i="9"/>
  <c r="N225" i="9"/>
  <c r="Q224" i="9"/>
  <c r="P224" i="9"/>
  <c r="N224" i="9"/>
  <c r="Q223" i="9"/>
  <c r="P223" i="9"/>
  <c r="N223" i="9"/>
  <c r="Q222" i="9"/>
  <c r="P222" i="9"/>
  <c r="N222" i="9"/>
  <c r="Q221" i="9"/>
  <c r="P221" i="9"/>
  <c r="N221" i="9"/>
  <c r="Q220" i="9"/>
  <c r="P220" i="9"/>
  <c r="N220" i="9"/>
  <c r="Q219" i="9"/>
  <c r="P219" i="9"/>
  <c r="N219" i="9"/>
  <c r="Q218" i="9"/>
  <c r="P218" i="9"/>
  <c r="N218" i="9"/>
  <c r="Q217" i="9"/>
  <c r="P217" i="9"/>
  <c r="N217" i="9"/>
  <c r="Q216" i="9"/>
  <c r="P216" i="9"/>
  <c r="N216" i="9"/>
  <c r="Q215" i="9"/>
  <c r="P215" i="9"/>
  <c r="N215" i="9"/>
  <c r="Q214" i="9"/>
  <c r="P214" i="9"/>
  <c r="N214" i="9"/>
  <c r="Q213" i="9"/>
  <c r="P213" i="9"/>
  <c r="N213" i="9"/>
  <c r="Q212" i="9"/>
  <c r="P212" i="9"/>
  <c r="N212" i="9"/>
  <c r="Q211" i="9"/>
  <c r="P211" i="9"/>
  <c r="N211" i="9"/>
  <c r="Q210" i="9"/>
  <c r="P210" i="9"/>
  <c r="N210" i="9"/>
  <c r="Q209" i="9"/>
  <c r="P209" i="9"/>
  <c r="N209" i="9"/>
  <c r="Q208" i="9"/>
  <c r="P208" i="9"/>
  <c r="N208" i="9"/>
  <c r="Q207" i="9"/>
  <c r="P207" i="9"/>
  <c r="N207" i="9"/>
  <c r="Q206" i="9"/>
  <c r="P206" i="9"/>
  <c r="N206" i="9"/>
  <c r="Q205" i="9"/>
  <c r="P205" i="9"/>
  <c r="N205" i="9"/>
  <c r="Q204" i="9"/>
  <c r="P204" i="9"/>
  <c r="N204" i="9"/>
  <c r="Q203" i="9"/>
  <c r="P203" i="9"/>
  <c r="N203" i="9"/>
  <c r="Q202" i="9"/>
  <c r="P202" i="9"/>
  <c r="N202" i="9"/>
  <c r="R202" i="9" l="1"/>
  <c r="R206" i="9"/>
  <c r="R208" i="9"/>
  <c r="R212" i="9"/>
  <c r="R214" i="9"/>
  <c r="R218" i="9"/>
  <c r="R220" i="9"/>
  <c r="R224" i="9"/>
  <c r="R226" i="9"/>
  <c r="R230" i="9"/>
  <c r="R232" i="9"/>
  <c r="R207" i="9"/>
  <c r="R213" i="9"/>
  <c r="R219" i="9"/>
  <c r="R231" i="9"/>
  <c r="R225" i="9"/>
  <c r="R204" i="9"/>
  <c r="R210" i="9"/>
  <c r="R216" i="9"/>
  <c r="R222" i="9"/>
  <c r="R228" i="9"/>
  <c r="R203" i="9"/>
  <c r="R205" i="9"/>
  <c r="R209" i="9"/>
  <c r="R211" i="9"/>
  <c r="R215" i="9"/>
  <c r="R217" i="9"/>
  <c r="R221" i="9"/>
  <c r="R223" i="9"/>
  <c r="R227" i="9"/>
  <c r="R229" i="9"/>
  <c r="Q200" i="9"/>
  <c r="P200" i="9"/>
  <c r="N200" i="9"/>
  <c r="Q199" i="9"/>
  <c r="P199" i="9"/>
  <c r="N199" i="9"/>
  <c r="Q198" i="9"/>
  <c r="P198" i="9"/>
  <c r="N198" i="9"/>
  <c r="Q197" i="9"/>
  <c r="P197" i="9"/>
  <c r="N197" i="9"/>
  <c r="R198" i="9" l="1"/>
  <c r="R200" i="9"/>
  <c r="R197" i="9"/>
  <c r="R199" i="9"/>
  <c r="Q195" i="9"/>
  <c r="P195" i="9"/>
  <c r="N195" i="9"/>
  <c r="Q194" i="9"/>
  <c r="P194" i="9"/>
  <c r="N194" i="9"/>
  <c r="Q193" i="9"/>
  <c r="P193" i="9"/>
  <c r="N193" i="9"/>
  <c r="Q192" i="9"/>
  <c r="P192" i="9"/>
  <c r="N192" i="9"/>
  <c r="Q191" i="9"/>
  <c r="P191" i="9"/>
  <c r="N191" i="9"/>
  <c r="Q190" i="9"/>
  <c r="P190" i="9"/>
  <c r="N190" i="9"/>
  <c r="Q189" i="9"/>
  <c r="P189" i="9"/>
  <c r="N189" i="9"/>
  <c r="Q188" i="9"/>
  <c r="P188" i="9"/>
  <c r="N188" i="9"/>
  <c r="Q187" i="9"/>
  <c r="P187" i="9"/>
  <c r="N187" i="9"/>
  <c r="Q186" i="9"/>
  <c r="P186" i="9"/>
  <c r="N186" i="9"/>
  <c r="Q185" i="9"/>
  <c r="P185" i="9"/>
  <c r="N185" i="9"/>
  <c r="Q184" i="9"/>
  <c r="P184" i="9"/>
  <c r="N184" i="9"/>
  <c r="Q183" i="9"/>
  <c r="P183" i="9"/>
  <c r="N183" i="9"/>
  <c r="Q182" i="9"/>
  <c r="P182" i="9"/>
  <c r="N182" i="9"/>
  <c r="Q181" i="9"/>
  <c r="P181" i="9"/>
  <c r="N181" i="9"/>
  <c r="Q180" i="9"/>
  <c r="P180" i="9"/>
  <c r="N180" i="9"/>
  <c r="Q179" i="9"/>
  <c r="P179" i="9"/>
  <c r="N179" i="9"/>
  <c r="Q178" i="9"/>
  <c r="P178" i="9"/>
  <c r="N178" i="9"/>
  <c r="Q176" i="9"/>
  <c r="P176" i="9"/>
  <c r="N176" i="9"/>
  <c r="Q175" i="9"/>
  <c r="P175" i="9"/>
  <c r="N175" i="9"/>
  <c r="Q174" i="9"/>
  <c r="P174" i="9"/>
  <c r="N174" i="9"/>
  <c r="Q173" i="9"/>
  <c r="P173" i="9"/>
  <c r="N173" i="9"/>
  <c r="Q172" i="9"/>
  <c r="P172" i="9"/>
  <c r="N172" i="9"/>
  <c r="Q171" i="9"/>
  <c r="P171" i="9"/>
  <c r="N171" i="9"/>
  <c r="Q170" i="9"/>
  <c r="P170" i="9"/>
  <c r="N170" i="9"/>
  <c r="Q169" i="9"/>
  <c r="P169" i="9"/>
  <c r="N169" i="9"/>
  <c r="Q168" i="9"/>
  <c r="P168" i="9"/>
  <c r="N168" i="9"/>
  <c r="Q167" i="9"/>
  <c r="P167" i="9"/>
  <c r="N167" i="9"/>
  <c r="Q166" i="9"/>
  <c r="P166" i="9"/>
  <c r="N166" i="9"/>
  <c r="Q165" i="9"/>
  <c r="P165" i="9"/>
  <c r="N165" i="9"/>
  <c r="Q164" i="9"/>
  <c r="P164" i="9"/>
  <c r="N164" i="9"/>
  <c r="Q163" i="9"/>
  <c r="P163" i="9"/>
  <c r="N163" i="9"/>
  <c r="Q162" i="9"/>
  <c r="P162" i="9"/>
  <c r="N162" i="9"/>
  <c r="Q161" i="9"/>
  <c r="P161" i="9"/>
  <c r="N161" i="9"/>
  <c r="Q160" i="9"/>
  <c r="P160" i="9"/>
  <c r="N160" i="9"/>
  <c r="Q159" i="9"/>
  <c r="P159" i="9"/>
  <c r="N159" i="9"/>
  <c r="Q157" i="9"/>
  <c r="P157" i="9"/>
  <c r="N157" i="9"/>
  <c r="Q156" i="9"/>
  <c r="P156" i="9"/>
  <c r="N156" i="9"/>
  <c r="Q155" i="9"/>
  <c r="P155" i="9"/>
  <c r="N155" i="9"/>
  <c r="Q154" i="9"/>
  <c r="P154" i="9"/>
  <c r="N154" i="9"/>
  <c r="Q153" i="9"/>
  <c r="P153" i="9"/>
  <c r="N153" i="9"/>
  <c r="Q152" i="9"/>
  <c r="P152" i="9"/>
  <c r="N152" i="9"/>
  <c r="Q151" i="9"/>
  <c r="P151" i="9"/>
  <c r="N151" i="9"/>
  <c r="Q150" i="9"/>
  <c r="P150" i="9"/>
  <c r="N150" i="9"/>
  <c r="Q149" i="9"/>
  <c r="P149" i="9"/>
  <c r="N149" i="9"/>
  <c r="Q148" i="9"/>
  <c r="P148" i="9"/>
  <c r="N148" i="9"/>
  <c r="Q147" i="9"/>
  <c r="P147" i="9"/>
  <c r="N147" i="9"/>
  <c r="Q146" i="9"/>
  <c r="P146" i="9"/>
  <c r="N146" i="9"/>
  <c r="Q145" i="9"/>
  <c r="P145" i="9"/>
  <c r="N145" i="9"/>
  <c r="Q144" i="9"/>
  <c r="P144" i="9"/>
  <c r="N144" i="9"/>
  <c r="Q143" i="9"/>
  <c r="P143" i="9"/>
  <c r="N143" i="9"/>
  <c r="Q142" i="9"/>
  <c r="P142" i="9"/>
  <c r="N142" i="9"/>
  <c r="Q141" i="9"/>
  <c r="P141" i="9"/>
  <c r="N141" i="9"/>
  <c r="Q140" i="9"/>
  <c r="P140" i="9"/>
  <c r="N140" i="9"/>
  <c r="Q139" i="9"/>
  <c r="P139" i="9"/>
  <c r="N139" i="9"/>
  <c r="Q138" i="9"/>
  <c r="P138" i="9"/>
  <c r="N138" i="9"/>
  <c r="Q137" i="9"/>
  <c r="P137" i="9"/>
  <c r="N137" i="9"/>
  <c r="Q136" i="9"/>
  <c r="P136" i="9"/>
  <c r="N136" i="9"/>
  <c r="Q135" i="9"/>
  <c r="P135" i="9"/>
  <c r="N135" i="9"/>
  <c r="Q134" i="9"/>
  <c r="P134" i="9"/>
  <c r="N134" i="9"/>
  <c r="Q133" i="9"/>
  <c r="P133" i="9"/>
  <c r="N133" i="9"/>
  <c r="Q132" i="9"/>
  <c r="P132" i="9"/>
  <c r="N132" i="9"/>
  <c r="Q131" i="9"/>
  <c r="P131" i="9"/>
  <c r="N131" i="9"/>
  <c r="Q130" i="9"/>
  <c r="P130" i="9"/>
  <c r="N130" i="9"/>
  <c r="Q129" i="9"/>
  <c r="P129" i="9"/>
  <c r="N129" i="9"/>
  <c r="Q128" i="9"/>
  <c r="P128" i="9"/>
  <c r="N128" i="9"/>
  <c r="Q127" i="9"/>
  <c r="P127" i="9"/>
  <c r="N127" i="9"/>
  <c r="Q126" i="9"/>
  <c r="P126" i="9"/>
  <c r="N126" i="9"/>
  <c r="Q125" i="9"/>
  <c r="P125" i="9"/>
  <c r="N125" i="9"/>
  <c r="Q123" i="9"/>
  <c r="P123" i="9"/>
  <c r="N123" i="9"/>
  <c r="Q122" i="9"/>
  <c r="P122" i="9"/>
  <c r="N122" i="9"/>
  <c r="Q121" i="9"/>
  <c r="P121" i="9"/>
  <c r="N121" i="9"/>
  <c r="Q120" i="9"/>
  <c r="P120" i="9"/>
  <c r="N120" i="9"/>
  <c r="Q119" i="9"/>
  <c r="P119" i="9"/>
  <c r="N119" i="9"/>
  <c r="Q118" i="9"/>
  <c r="P118" i="9"/>
  <c r="N118" i="9"/>
  <c r="Q117" i="9"/>
  <c r="P117" i="9"/>
  <c r="N117" i="9"/>
  <c r="Q116" i="9"/>
  <c r="P116" i="9"/>
  <c r="N116" i="9"/>
  <c r="Q115" i="9"/>
  <c r="P115" i="9"/>
  <c r="N115" i="9"/>
  <c r="Q114" i="9"/>
  <c r="P114" i="9"/>
  <c r="N114" i="9"/>
  <c r="Q113" i="9"/>
  <c r="P113" i="9"/>
  <c r="N113" i="9"/>
  <c r="Q112" i="9"/>
  <c r="P112" i="9"/>
  <c r="N112" i="9"/>
  <c r="Q111" i="9"/>
  <c r="P111" i="9"/>
  <c r="N111" i="9"/>
  <c r="Q110" i="9"/>
  <c r="P110" i="9"/>
  <c r="N110" i="9"/>
  <c r="Q109" i="9"/>
  <c r="P109" i="9"/>
  <c r="N109" i="9"/>
  <c r="Q108" i="9"/>
  <c r="P108" i="9"/>
  <c r="N108" i="9"/>
  <c r="Q107" i="9"/>
  <c r="P107" i="9"/>
  <c r="N107" i="9"/>
  <c r="Q106" i="9"/>
  <c r="P106" i="9"/>
  <c r="N106" i="9"/>
  <c r="Q105" i="9"/>
  <c r="P105" i="9"/>
  <c r="N105" i="9"/>
  <c r="Q104" i="9"/>
  <c r="P104" i="9"/>
  <c r="N104" i="9"/>
  <c r="Q103" i="9"/>
  <c r="P103" i="9"/>
  <c r="N103" i="9"/>
  <c r="Q102" i="9"/>
  <c r="P102" i="9"/>
  <c r="N102" i="9"/>
  <c r="Q101" i="9"/>
  <c r="P101" i="9"/>
  <c r="N101" i="9"/>
  <c r="Q100" i="9"/>
  <c r="P100" i="9"/>
  <c r="N100" i="9"/>
  <c r="Q99" i="9"/>
  <c r="P99" i="9"/>
  <c r="N99" i="9"/>
  <c r="Q98" i="9"/>
  <c r="P98" i="9"/>
  <c r="N98" i="9"/>
  <c r="Q97" i="9"/>
  <c r="P97" i="9"/>
  <c r="N97" i="9"/>
  <c r="Q96" i="9"/>
  <c r="P96" i="9"/>
  <c r="N96" i="9"/>
  <c r="Q95" i="9"/>
  <c r="P95" i="9"/>
  <c r="N95" i="9"/>
  <c r="Q93" i="9"/>
  <c r="P93" i="9"/>
  <c r="N93" i="9"/>
  <c r="Q92" i="9"/>
  <c r="P92" i="9"/>
  <c r="N92" i="9"/>
  <c r="Q91" i="9"/>
  <c r="P91" i="9"/>
  <c r="N91" i="9"/>
  <c r="Q90" i="9"/>
  <c r="P90" i="9"/>
  <c r="N90" i="9"/>
  <c r="Q89" i="9"/>
  <c r="P89" i="9"/>
  <c r="N89" i="9"/>
  <c r="Q88" i="9"/>
  <c r="P88" i="9"/>
  <c r="N88" i="9"/>
  <c r="Q87" i="9"/>
  <c r="P87" i="9"/>
  <c r="N87" i="9"/>
  <c r="Q86" i="9"/>
  <c r="P86" i="9"/>
  <c r="N86" i="9"/>
  <c r="Q85" i="9"/>
  <c r="P85" i="9"/>
  <c r="N85" i="9"/>
  <c r="Q84" i="9"/>
  <c r="P84" i="9"/>
  <c r="N84" i="9"/>
  <c r="Q83" i="9"/>
  <c r="P83" i="9"/>
  <c r="N83" i="9"/>
  <c r="Q82" i="9"/>
  <c r="P82" i="9"/>
  <c r="N82" i="9"/>
  <c r="Q81" i="9"/>
  <c r="P81" i="9"/>
  <c r="N81" i="9"/>
  <c r="Q80" i="9"/>
  <c r="P80" i="9"/>
  <c r="N80" i="9"/>
  <c r="Q79" i="9"/>
  <c r="P79" i="9"/>
  <c r="N79" i="9"/>
  <c r="Q78" i="9"/>
  <c r="P78" i="9"/>
  <c r="N78" i="9"/>
  <c r="Q77" i="9"/>
  <c r="P77" i="9"/>
  <c r="N77" i="9"/>
  <c r="Q76" i="9"/>
  <c r="P76" i="9"/>
  <c r="N76" i="9"/>
  <c r="Q75" i="9"/>
  <c r="P75" i="9"/>
  <c r="N75" i="9"/>
  <c r="Q74" i="9"/>
  <c r="P74" i="9"/>
  <c r="N74" i="9"/>
  <c r="Q73" i="9"/>
  <c r="P73" i="9"/>
  <c r="N73" i="9"/>
  <c r="Q72" i="9"/>
  <c r="P72" i="9"/>
  <c r="N72" i="9"/>
  <c r="Q71" i="9"/>
  <c r="P71" i="9"/>
  <c r="N71" i="9"/>
  <c r="Q70" i="9"/>
  <c r="P70" i="9"/>
  <c r="N70" i="9"/>
  <c r="Q69" i="9"/>
  <c r="P69" i="9"/>
  <c r="N69" i="9"/>
  <c r="Q68" i="9"/>
  <c r="P68" i="9"/>
  <c r="N68" i="9"/>
  <c r="Q67" i="9"/>
  <c r="P67" i="9"/>
  <c r="N67" i="9"/>
  <c r="Q66" i="9"/>
  <c r="P66" i="9"/>
  <c r="N66" i="9"/>
  <c r="Q65" i="9"/>
  <c r="P65" i="9"/>
  <c r="N65" i="9"/>
  <c r="Q64" i="9"/>
  <c r="P64" i="9"/>
  <c r="N64" i="9"/>
  <c r="Q63" i="9"/>
  <c r="P63" i="9"/>
  <c r="N63" i="9"/>
  <c r="Q62" i="9"/>
  <c r="P62" i="9"/>
  <c r="N62" i="9"/>
  <c r="R154" i="9" l="1"/>
  <c r="R156" i="9"/>
  <c r="R161" i="9"/>
  <c r="R163" i="9"/>
  <c r="R167" i="9"/>
  <c r="R169" i="9"/>
  <c r="R173" i="9"/>
  <c r="R175" i="9"/>
  <c r="R178" i="9"/>
  <c r="R182" i="9"/>
  <c r="R190" i="9"/>
  <c r="R183" i="9"/>
  <c r="R185" i="9"/>
  <c r="R187" i="9"/>
  <c r="R191" i="9"/>
  <c r="R193" i="9"/>
  <c r="R195" i="9"/>
  <c r="R184" i="9"/>
  <c r="R181" i="9"/>
  <c r="R186" i="9"/>
  <c r="R192" i="9"/>
  <c r="R194" i="9"/>
  <c r="R63" i="9"/>
  <c r="R67" i="9"/>
  <c r="R69" i="9"/>
  <c r="R75" i="9"/>
  <c r="R79" i="9"/>
  <c r="R81" i="9"/>
  <c r="R85" i="9"/>
  <c r="R87" i="9"/>
  <c r="R93" i="9"/>
  <c r="R96" i="9"/>
  <c r="R98" i="9"/>
  <c r="R102" i="9"/>
  <c r="R104" i="9"/>
  <c r="R108" i="9"/>
  <c r="R110" i="9"/>
  <c r="R114" i="9"/>
  <c r="R116" i="9"/>
  <c r="R120" i="9"/>
  <c r="R122" i="9"/>
  <c r="R129" i="9"/>
  <c r="R135" i="9"/>
  <c r="R141" i="9"/>
  <c r="R147" i="9"/>
  <c r="R153" i="9"/>
  <c r="R157" i="9"/>
  <c r="R160" i="9"/>
  <c r="R164" i="9"/>
  <c r="R166" i="9"/>
  <c r="R170" i="9"/>
  <c r="R172" i="9"/>
  <c r="R176" i="9"/>
  <c r="R180" i="9"/>
  <c r="R189" i="9"/>
  <c r="R179" i="9"/>
  <c r="R188" i="9"/>
  <c r="R64" i="9"/>
  <c r="R74" i="9"/>
  <c r="R80" i="9"/>
  <c r="R82" i="9"/>
  <c r="R97" i="9"/>
  <c r="R103" i="9"/>
  <c r="R109" i="9"/>
  <c r="R115" i="9"/>
  <c r="R121" i="9"/>
  <c r="R128" i="9"/>
  <c r="R130" i="9"/>
  <c r="R134" i="9"/>
  <c r="R136" i="9"/>
  <c r="R140" i="9"/>
  <c r="R142" i="9"/>
  <c r="R146" i="9"/>
  <c r="R148" i="9"/>
  <c r="R152" i="9"/>
  <c r="R159" i="9"/>
  <c r="R165" i="9"/>
  <c r="R171" i="9"/>
  <c r="R155" i="9"/>
  <c r="R162" i="9"/>
  <c r="R168" i="9"/>
  <c r="R174" i="9"/>
  <c r="R77" i="9"/>
  <c r="R91" i="9"/>
  <c r="R100" i="9"/>
  <c r="R106" i="9"/>
  <c r="R112" i="9"/>
  <c r="R118" i="9"/>
  <c r="R125" i="9"/>
  <c r="R127" i="9"/>
  <c r="R131" i="9"/>
  <c r="R133" i="9"/>
  <c r="R137" i="9"/>
  <c r="R139" i="9"/>
  <c r="R143" i="9"/>
  <c r="R145" i="9"/>
  <c r="R149" i="9"/>
  <c r="R151" i="9"/>
  <c r="R73" i="9"/>
  <c r="R66" i="9"/>
  <c r="R68" i="9"/>
  <c r="R70" i="9"/>
  <c r="R72" i="9"/>
  <c r="R76" i="9"/>
  <c r="R78" i="9"/>
  <c r="R84" i="9"/>
  <c r="R88" i="9"/>
  <c r="R90" i="9"/>
  <c r="R95" i="9"/>
  <c r="R99" i="9"/>
  <c r="R101" i="9"/>
  <c r="R105" i="9"/>
  <c r="R107" i="9"/>
  <c r="R111" i="9"/>
  <c r="R113" i="9"/>
  <c r="R117" i="9"/>
  <c r="R119" i="9"/>
  <c r="R123" i="9"/>
  <c r="R126" i="9"/>
  <c r="R132" i="9"/>
  <c r="R138" i="9"/>
  <c r="R144" i="9"/>
  <c r="R150" i="9"/>
  <c r="R62" i="9"/>
  <c r="R71" i="9"/>
  <c r="R89" i="9"/>
  <c r="R86" i="9"/>
  <c r="R65" i="9"/>
  <c r="R83" i="9"/>
  <c r="R92" i="9"/>
  <c r="Q45" i="9" l="1"/>
  <c r="P45" i="9"/>
  <c r="N45" i="9"/>
  <c r="Q44" i="9"/>
  <c r="P44" i="9"/>
  <c r="N44" i="9"/>
  <c r="Q43" i="9"/>
  <c r="P43" i="9"/>
  <c r="N43" i="9"/>
  <c r="Q42" i="9"/>
  <c r="P42" i="9"/>
  <c r="N42" i="9"/>
  <c r="R43" i="9" l="1"/>
  <c r="R45" i="9"/>
  <c r="R42" i="9"/>
  <c r="R44" i="9"/>
  <c r="Q60" i="9" l="1"/>
  <c r="P60" i="9"/>
  <c r="N60" i="9"/>
  <c r="Q59" i="9"/>
  <c r="P59" i="9"/>
  <c r="N59" i="9"/>
  <c r="Q58" i="9"/>
  <c r="P58" i="9"/>
  <c r="N58" i="9"/>
  <c r="Q57" i="9"/>
  <c r="P57" i="9"/>
  <c r="N57" i="9"/>
  <c r="Q56" i="9"/>
  <c r="P56" i="9"/>
  <c r="N56" i="9"/>
  <c r="Q55" i="9"/>
  <c r="P55" i="9"/>
  <c r="N55" i="9"/>
  <c r="Q54" i="9"/>
  <c r="P54" i="9"/>
  <c r="N54" i="9"/>
  <c r="Q53" i="9"/>
  <c r="P53" i="9"/>
  <c r="N53" i="9"/>
  <c r="Q52" i="9"/>
  <c r="P52" i="9"/>
  <c r="N52" i="9"/>
  <c r="Q51" i="9"/>
  <c r="P51" i="9"/>
  <c r="N51" i="9"/>
  <c r="Q50" i="9"/>
  <c r="P50" i="9"/>
  <c r="N50" i="9"/>
  <c r="Q49" i="9"/>
  <c r="P49" i="9"/>
  <c r="N49" i="9"/>
  <c r="Q48" i="9"/>
  <c r="P48" i="9"/>
  <c r="N48" i="9"/>
  <c r="Q47" i="9"/>
  <c r="P47" i="9"/>
  <c r="N47" i="9"/>
  <c r="N239" i="9" l="1"/>
  <c r="R52" i="9"/>
  <c r="R58" i="9"/>
  <c r="R49" i="9"/>
  <c r="R55" i="9"/>
  <c r="R47" i="9"/>
  <c r="R51" i="9"/>
  <c r="R53" i="9"/>
  <c r="R57" i="9"/>
  <c r="R59" i="9"/>
  <c r="R48" i="9"/>
  <c r="R50" i="9"/>
  <c r="R54" i="9"/>
  <c r="R56" i="9"/>
  <c r="R60" i="9"/>
  <c r="N36" i="9" l="1"/>
  <c r="N201" i="9"/>
  <c r="N196" i="9"/>
  <c r="N177" i="9"/>
  <c r="N158" i="9"/>
  <c r="N124" i="9"/>
  <c r="N94" i="9"/>
  <c r="N61" i="9"/>
  <c r="N41" i="9"/>
  <c r="N2" i="9"/>
  <c r="N46" i="9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67" i="5"/>
  <c r="N68" i="5"/>
  <c r="M72" i="8"/>
  <c r="L72" i="8"/>
  <c r="K72" i="8"/>
  <c r="G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N2" i="8"/>
  <c r="M69" i="5"/>
  <c r="L69" i="5"/>
  <c r="K69" i="5"/>
  <c r="G69" i="5"/>
  <c r="N34" i="5"/>
  <c r="N33" i="5"/>
  <c r="N32" i="5"/>
  <c r="N31" i="5"/>
  <c r="N30" i="5"/>
  <c r="N29" i="5"/>
  <c r="N72" i="8" l="1"/>
  <c r="N28" i="5" l="1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N69" i="5" l="1"/>
</calcChain>
</file>

<file path=xl/sharedStrings.xml><?xml version="1.0" encoding="utf-8"?>
<sst xmlns="http://schemas.openxmlformats.org/spreadsheetml/2006/main" count="2216" uniqueCount="189">
  <si>
    <t>収入</t>
    <rPh sb="0" eb="2">
      <t>シュウニュウ</t>
    </rPh>
    <phoneticPr fontId="2"/>
  </si>
  <si>
    <t>支出</t>
    <rPh sb="0" eb="2">
      <t>シシュツ</t>
    </rPh>
    <phoneticPr fontId="2"/>
  </si>
  <si>
    <t>非課税額</t>
    <rPh sb="0" eb="3">
      <t>ヒカゼイ</t>
    </rPh>
    <rPh sb="3" eb="4">
      <t>ガク</t>
    </rPh>
    <phoneticPr fontId="2"/>
  </si>
  <si>
    <t>インボイス</t>
    <phoneticPr fontId="2"/>
  </si>
  <si>
    <t>旅費交通費</t>
  </si>
  <si>
    <t>勘定科目</t>
    <rPh sb="0" eb="2">
      <t>カンジョウ</t>
    </rPh>
    <rPh sb="2" eb="4">
      <t>カモク</t>
    </rPh>
    <phoneticPr fontId="2"/>
  </si>
  <si>
    <t>摘要</t>
    <rPh sb="0" eb="2">
      <t>テキヨウ</t>
    </rPh>
    <phoneticPr fontId="2"/>
  </si>
  <si>
    <t>支払日</t>
    <rPh sb="0" eb="3">
      <t>シハライビ</t>
    </rPh>
    <phoneticPr fontId="2"/>
  </si>
  <si>
    <t>10％税込額</t>
    <rPh sb="3" eb="5">
      <t>ゼイコミ</t>
    </rPh>
    <rPh sb="5" eb="6">
      <t>ガク</t>
    </rPh>
    <phoneticPr fontId="2"/>
  </si>
  <si>
    <t>8％税込額</t>
    <rPh sb="2" eb="4">
      <t>ゼイコミ</t>
    </rPh>
    <rPh sb="4" eb="5">
      <t>ガク</t>
    </rPh>
    <phoneticPr fontId="2"/>
  </si>
  <si>
    <t>税込合計</t>
    <rPh sb="0" eb="2">
      <t>ゼイコミ</t>
    </rPh>
    <rPh sb="2" eb="3">
      <t>ゴウ</t>
    </rPh>
    <rPh sb="3" eb="4">
      <t>ケイ</t>
    </rPh>
    <phoneticPr fontId="2"/>
  </si>
  <si>
    <t>a</t>
    <phoneticPr fontId="2"/>
  </si>
  <si>
    <t>b</t>
    <phoneticPr fontId="2"/>
  </si>
  <si>
    <t>合計</t>
    <rPh sb="0" eb="2">
      <t>ゴウケイ</t>
    </rPh>
    <phoneticPr fontId="2"/>
  </si>
  <si>
    <t>食費</t>
    <rPh sb="0" eb="2">
      <t>ショクヒ</t>
    </rPh>
    <phoneticPr fontId="2"/>
  </si>
  <si>
    <t>交通費</t>
    <rPh sb="0" eb="3">
      <t>コウツウヒ</t>
    </rPh>
    <phoneticPr fontId="2"/>
  </si>
  <si>
    <t>E</t>
    <phoneticPr fontId="2"/>
  </si>
  <si>
    <t>行ラベル</t>
  </si>
  <si>
    <t>(空白)</t>
  </si>
  <si>
    <t>総計</t>
  </si>
  <si>
    <t>担当</t>
    <rPh sb="0" eb="2">
      <t>タントウ</t>
    </rPh>
    <phoneticPr fontId="2"/>
  </si>
  <si>
    <t>新幹線代　東京駅～宇都宮駅</t>
    <rPh sb="0" eb="3">
      <t>シンカンセン</t>
    </rPh>
    <rPh sb="3" eb="4">
      <t>ダイ</t>
    </rPh>
    <rPh sb="5" eb="8">
      <t>トウキョウエキ</t>
    </rPh>
    <rPh sb="9" eb="13">
      <t>ウツノミヤエキ</t>
    </rPh>
    <phoneticPr fontId="2"/>
  </si>
  <si>
    <t>不要</t>
  </si>
  <si>
    <t>有</t>
  </si>
  <si>
    <t>土手</t>
    <rPh sb="0" eb="2">
      <t>ドテ</t>
    </rPh>
    <phoneticPr fontId="2"/>
  </si>
  <si>
    <t>食事代</t>
    <rPh sb="0" eb="3">
      <t>ショクジダイ</t>
    </rPh>
    <phoneticPr fontId="8"/>
  </si>
  <si>
    <t>宿泊費</t>
    <rPh sb="0" eb="3">
      <t>シュクハクヒ</t>
    </rPh>
    <phoneticPr fontId="8"/>
  </si>
  <si>
    <t>燃料費</t>
    <rPh sb="0" eb="3">
      <t>ネンリョウヒ</t>
    </rPh>
    <phoneticPr fontId="8"/>
  </si>
  <si>
    <t>駐車料金</t>
    <rPh sb="0" eb="4">
      <t>チュウシャリョウキン</t>
    </rPh>
    <phoneticPr fontId="8"/>
  </si>
  <si>
    <t>無</t>
  </si>
  <si>
    <t>消耗品費</t>
  </si>
  <si>
    <t>革手袋</t>
    <rPh sb="0" eb="1">
      <t>カワ</t>
    </rPh>
    <rPh sb="1" eb="3">
      <t>テブクロ</t>
    </rPh>
    <phoneticPr fontId="8"/>
  </si>
  <si>
    <t>冨尾木</t>
    <rPh sb="0" eb="3">
      <t>トミオギ</t>
    </rPh>
    <phoneticPr fontId="8"/>
  </si>
  <si>
    <t>高速代　汐入ー川崎アクア</t>
    <rPh sb="0" eb="2">
      <t>コウソク</t>
    </rPh>
    <rPh sb="2" eb="3">
      <t>ダイ</t>
    </rPh>
    <rPh sb="4" eb="6">
      <t>シオイリ</t>
    </rPh>
    <rPh sb="7" eb="9">
      <t>カワサキ</t>
    </rPh>
    <phoneticPr fontId="2"/>
  </si>
  <si>
    <t>木更津金田第一</t>
    <rPh sb="0" eb="3">
      <t>キサラヅ</t>
    </rPh>
    <rPh sb="3" eb="5">
      <t>カネダ</t>
    </rPh>
    <rPh sb="5" eb="7">
      <t>ダイイチ</t>
    </rPh>
    <phoneticPr fontId="2"/>
  </si>
  <si>
    <t>木更津金田第一ー市原</t>
    <rPh sb="0" eb="3">
      <t>キサラヅ</t>
    </rPh>
    <rPh sb="3" eb="5">
      <t>カネダ</t>
    </rPh>
    <rPh sb="5" eb="7">
      <t>ダイイチ</t>
    </rPh>
    <rPh sb="8" eb="10">
      <t>イチハラ</t>
    </rPh>
    <phoneticPr fontId="2"/>
  </si>
  <si>
    <t>市原ー木更津金田第一</t>
    <rPh sb="0" eb="2">
      <t>イチハラ</t>
    </rPh>
    <rPh sb="3" eb="6">
      <t>キサラヅ</t>
    </rPh>
    <rPh sb="6" eb="8">
      <t>カネダ</t>
    </rPh>
    <rPh sb="8" eb="10">
      <t>ダイイチ</t>
    </rPh>
    <phoneticPr fontId="2"/>
  </si>
  <si>
    <t>川崎浮島本線ー汐入</t>
    <rPh sb="0" eb="2">
      <t>カワサキ</t>
    </rPh>
    <rPh sb="2" eb="4">
      <t>ウキシマ</t>
    </rPh>
    <rPh sb="4" eb="6">
      <t>ホンセン</t>
    </rPh>
    <rPh sb="7" eb="9">
      <t>シオイリ</t>
    </rPh>
    <phoneticPr fontId="2"/>
  </si>
  <si>
    <t>田代</t>
    <rPh sb="0" eb="2">
      <t>タシロ</t>
    </rPh>
    <phoneticPr fontId="2"/>
  </si>
  <si>
    <t>〃</t>
    <phoneticPr fontId="2"/>
  </si>
  <si>
    <t>仕入材料</t>
  </si>
  <si>
    <t>ガソリン代</t>
    <rPh sb="4" eb="5">
      <t>ダイ</t>
    </rPh>
    <phoneticPr fontId="2"/>
  </si>
  <si>
    <t>現場関係費</t>
  </si>
  <si>
    <t>3.4.1</t>
    <phoneticPr fontId="2"/>
  </si>
  <si>
    <t>継手</t>
    <rPh sb="0" eb="2">
      <t>ツギテ</t>
    </rPh>
    <phoneticPr fontId="2"/>
  </si>
  <si>
    <t>工具配送費</t>
    <rPh sb="0" eb="2">
      <t>コウグ</t>
    </rPh>
    <rPh sb="2" eb="5">
      <t>ハイソウヒ</t>
    </rPh>
    <phoneticPr fontId="2"/>
  </si>
  <si>
    <t>4.22.2</t>
    <phoneticPr fontId="2"/>
  </si>
  <si>
    <t>材料費</t>
    <rPh sb="0" eb="3">
      <t>ザイリョウヒ</t>
    </rPh>
    <phoneticPr fontId="2"/>
  </si>
  <si>
    <t>柿澤</t>
    <rPh sb="0" eb="2">
      <t>カキザワ</t>
    </rPh>
    <phoneticPr fontId="2"/>
  </si>
  <si>
    <t>20240520　柿澤　63452</t>
    <rPh sb="9" eb="11">
      <t>カキザワ</t>
    </rPh>
    <phoneticPr fontId="2"/>
  </si>
  <si>
    <t>2.22.3</t>
    <phoneticPr fontId="2"/>
  </si>
  <si>
    <t>宿泊費</t>
    <rPh sb="0" eb="3">
      <t>シュクハクヒ</t>
    </rPh>
    <phoneticPr fontId="2"/>
  </si>
  <si>
    <t>食事代（山之内）</t>
    <rPh sb="0" eb="3">
      <t>ショクジダイ</t>
    </rPh>
    <rPh sb="4" eb="7">
      <t>ヤマノウチ</t>
    </rPh>
    <phoneticPr fontId="2"/>
  </si>
  <si>
    <t>20240513　山之内　109491</t>
    <rPh sb="9" eb="12">
      <t>ヤマノウチ</t>
    </rPh>
    <phoneticPr fontId="2"/>
  </si>
  <si>
    <t>24.02.01.05</t>
    <phoneticPr fontId="2"/>
  </si>
  <si>
    <t>駐車場代</t>
    <rPh sb="0" eb="3">
      <t>チュウシャジョウ</t>
    </rPh>
    <rPh sb="3" eb="4">
      <t>ダイ</t>
    </rPh>
    <phoneticPr fontId="2"/>
  </si>
  <si>
    <t>食事代</t>
    <rPh sb="0" eb="3">
      <t>ショクジダイ</t>
    </rPh>
    <phoneticPr fontId="2"/>
  </si>
  <si>
    <t>交際費</t>
  </si>
  <si>
    <t>食事代（AGC池内様）</t>
    <rPh sb="0" eb="3">
      <t>ショクジダイ</t>
    </rPh>
    <rPh sb="7" eb="9">
      <t>イケウチ</t>
    </rPh>
    <rPh sb="9" eb="10">
      <t>サマ</t>
    </rPh>
    <phoneticPr fontId="2"/>
  </si>
  <si>
    <t>20240528　中村１　95392</t>
    <rPh sb="9" eb="11">
      <t>ナカムラ</t>
    </rPh>
    <phoneticPr fontId="2"/>
  </si>
  <si>
    <t>20240528　中村2　80008</t>
    <rPh sb="9" eb="11">
      <t>ナカムラ</t>
    </rPh>
    <phoneticPr fontId="2"/>
  </si>
  <si>
    <t>備品</t>
    <rPh sb="0" eb="2">
      <t>ビヒン</t>
    </rPh>
    <phoneticPr fontId="2"/>
  </si>
  <si>
    <t>20240528　中村3　90526</t>
    <rPh sb="9" eb="11">
      <t>ナカムラ</t>
    </rPh>
    <phoneticPr fontId="2"/>
  </si>
  <si>
    <t>諸雑費</t>
  </si>
  <si>
    <t>洗車代</t>
    <rPh sb="0" eb="2">
      <t>センシャ</t>
    </rPh>
    <rPh sb="2" eb="3">
      <t>ダイ</t>
    </rPh>
    <phoneticPr fontId="2"/>
  </si>
  <si>
    <t>保護具代</t>
    <rPh sb="0" eb="2">
      <t>ホゴ</t>
    </rPh>
    <rPh sb="2" eb="3">
      <t>グ</t>
    </rPh>
    <rPh sb="3" eb="4">
      <t>ダイ</t>
    </rPh>
    <phoneticPr fontId="2"/>
  </si>
  <si>
    <t>食事代（AGC新免様、池内様、俵積田様）</t>
    <rPh sb="0" eb="3">
      <t>ショクジダイ</t>
    </rPh>
    <rPh sb="7" eb="9">
      <t>シンメン</t>
    </rPh>
    <rPh sb="9" eb="10">
      <t>サマ</t>
    </rPh>
    <rPh sb="11" eb="13">
      <t>イケウチ</t>
    </rPh>
    <rPh sb="13" eb="14">
      <t>サマ</t>
    </rPh>
    <rPh sb="15" eb="18">
      <t>タワラツミタ</t>
    </rPh>
    <rPh sb="18" eb="19">
      <t>サマ</t>
    </rPh>
    <phoneticPr fontId="2"/>
  </si>
  <si>
    <t>洗濯代</t>
    <rPh sb="0" eb="2">
      <t>センタク</t>
    </rPh>
    <rPh sb="2" eb="3">
      <t>ダイ</t>
    </rPh>
    <phoneticPr fontId="2"/>
  </si>
  <si>
    <t>20240528　中村4　98329</t>
    <rPh sb="9" eb="11">
      <t>ナカムラ</t>
    </rPh>
    <phoneticPr fontId="2"/>
  </si>
  <si>
    <t>20240528　中村5　45680</t>
    <rPh sb="9" eb="11">
      <t>ナカムラ</t>
    </rPh>
    <phoneticPr fontId="2"/>
  </si>
  <si>
    <t>高速代　生麦～子安下</t>
    <rPh sb="0" eb="2">
      <t>コウソク</t>
    </rPh>
    <rPh sb="2" eb="3">
      <t>ダイ</t>
    </rPh>
    <rPh sb="4" eb="6">
      <t>ナマムギ</t>
    </rPh>
    <rPh sb="7" eb="9">
      <t>コヤス</t>
    </rPh>
    <rPh sb="9" eb="10">
      <t>シタ</t>
    </rPh>
    <phoneticPr fontId="2"/>
  </si>
  <si>
    <t>高速代　生麦～第三京浜接続</t>
    <rPh sb="0" eb="2">
      <t>コウソク</t>
    </rPh>
    <rPh sb="2" eb="3">
      <t>ダイ</t>
    </rPh>
    <rPh sb="4" eb="6">
      <t>ナマムギ</t>
    </rPh>
    <rPh sb="7" eb="13">
      <t>ダイサンケイヒンセツゾク</t>
    </rPh>
    <phoneticPr fontId="2"/>
  </si>
  <si>
    <t>高速代　戸塚</t>
    <rPh sb="0" eb="2">
      <t>コウソク</t>
    </rPh>
    <rPh sb="2" eb="3">
      <t>ダイ</t>
    </rPh>
    <rPh sb="4" eb="6">
      <t>トツカ</t>
    </rPh>
    <phoneticPr fontId="2"/>
  </si>
  <si>
    <t>高速代　茅ヶ崎バリア</t>
    <rPh sb="0" eb="2">
      <t>コウソク</t>
    </rPh>
    <rPh sb="2" eb="3">
      <t>ダイ</t>
    </rPh>
    <rPh sb="4" eb="7">
      <t>チガサキ</t>
    </rPh>
    <phoneticPr fontId="2"/>
  </si>
  <si>
    <t>高速代　茅ヶ崎JCT～門真本線</t>
    <rPh sb="0" eb="2">
      <t>コウソク</t>
    </rPh>
    <rPh sb="2" eb="3">
      <t>ダイ</t>
    </rPh>
    <rPh sb="4" eb="7">
      <t>チガサキ</t>
    </rPh>
    <rPh sb="11" eb="13">
      <t>カドマ</t>
    </rPh>
    <rPh sb="13" eb="15">
      <t>ホンセン</t>
    </rPh>
    <phoneticPr fontId="2"/>
  </si>
  <si>
    <t>高速代　門真本線～和歌山</t>
    <rPh sb="0" eb="2">
      <t>コウソク</t>
    </rPh>
    <rPh sb="2" eb="3">
      <t>ダイ</t>
    </rPh>
    <rPh sb="4" eb="6">
      <t>カドマ</t>
    </rPh>
    <rPh sb="6" eb="8">
      <t>ホンセン</t>
    </rPh>
    <rPh sb="9" eb="12">
      <t>ワカヤマ</t>
    </rPh>
    <phoneticPr fontId="2"/>
  </si>
  <si>
    <t>高速代　和歌山～天理</t>
    <rPh sb="0" eb="2">
      <t>コウソク</t>
    </rPh>
    <rPh sb="2" eb="3">
      <t>ダイ</t>
    </rPh>
    <rPh sb="4" eb="7">
      <t>ワカヤマ</t>
    </rPh>
    <rPh sb="8" eb="10">
      <t>テンリ</t>
    </rPh>
    <phoneticPr fontId="2"/>
  </si>
  <si>
    <t>高速代　亀山～横浜青葉本線</t>
    <rPh sb="0" eb="2">
      <t>コウソク</t>
    </rPh>
    <rPh sb="2" eb="3">
      <t>ダイ</t>
    </rPh>
    <rPh sb="4" eb="6">
      <t>カメヤマ</t>
    </rPh>
    <rPh sb="7" eb="9">
      <t>ヨコハマ</t>
    </rPh>
    <rPh sb="9" eb="13">
      <t>アオバホンセン</t>
    </rPh>
    <phoneticPr fontId="2"/>
  </si>
  <si>
    <t>高速代　首都横浜青葉～岸谷生麦上</t>
    <rPh sb="0" eb="2">
      <t>コウソク</t>
    </rPh>
    <rPh sb="2" eb="3">
      <t>ダイ</t>
    </rPh>
    <rPh sb="4" eb="6">
      <t>シュト</t>
    </rPh>
    <rPh sb="6" eb="8">
      <t>ヨコハマ</t>
    </rPh>
    <rPh sb="8" eb="10">
      <t>アオバ</t>
    </rPh>
    <rPh sb="11" eb="15">
      <t>キシヤナマムギ</t>
    </rPh>
    <rPh sb="15" eb="16">
      <t>ウエ</t>
    </rPh>
    <phoneticPr fontId="2"/>
  </si>
  <si>
    <t>高速代　茅ヶ崎JCT～亀山</t>
    <rPh sb="0" eb="2">
      <t>コウソク</t>
    </rPh>
    <rPh sb="2" eb="3">
      <t>ダイ</t>
    </rPh>
    <rPh sb="4" eb="7">
      <t>チガサキ</t>
    </rPh>
    <rPh sb="11" eb="13">
      <t>カメヤマ</t>
    </rPh>
    <phoneticPr fontId="2"/>
  </si>
  <si>
    <t>高速代　天理～和歌山</t>
    <rPh sb="0" eb="2">
      <t>コウソク</t>
    </rPh>
    <rPh sb="2" eb="3">
      <t>ダイ</t>
    </rPh>
    <rPh sb="4" eb="6">
      <t>テンリ</t>
    </rPh>
    <rPh sb="7" eb="10">
      <t>ワカヤマ</t>
    </rPh>
    <phoneticPr fontId="2"/>
  </si>
  <si>
    <t>高速代　海南東～天理</t>
    <rPh sb="0" eb="2">
      <t>コウソク</t>
    </rPh>
    <rPh sb="2" eb="3">
      <t>ダイ</t>
    </rPh>
    <rPh sb="4" eb="6">
      <t>カイナン</t>
    </rPh>
    <rPh sb="6" eb="7">
      <t>トウ</t>
    </rPh>
    <rPh sb="8" eb="10">
      <t>テンリ</t>
    </rPh>
    <phoneticPr fontId="2"/>
  </si>
  <si>
    <t>高速代　亀山～桑名</t>
    <rPh sb="0" eb="2">
      <t>コウソク</t>
    </rPh>
    <rPh sb="2" eb="3">
      <t>ダイ</t>
    </rPh>
    <rPh sb="4" eb="6">
      <t>カメヤマ</t>
    </rPh>
    <rPh sb="7" eb="9">
      <t>クワナ</t>
    </rPh>
    <phoneticPr fontId="2"/>
  </si>
  <si>
    <t>高速代　桑名～茅ヶ崎JCT</t>
    <rPh sb="0" eb="2">
      <t>コウソク</t>
    </rPh>
    <rPh sb="2" eb="3">
      <t>ダイ</t>
    </rPh>
    <rPh sb="4" eb="6">
      <t>クワナ</t>
    </rPh>
    <rPh sb="7" eb="10">
      <t>チガサキ</t>
    </rPh>
    <phoneticPr fontId="2"/>
  </si>
  <si>
    <t>YTCコンペ　横浜町田～御殿場</t>
    <rPh sb="7" eb="9">
      <t>ヨコハマ</t>
    </rPh>
    <rPh sb="9" eb="11">
      <t>マチダ</t>
    </rPh>
    <rPh sb="12" eb="15">
      <t>ゴテンバ</t>
    </rPh>
    <phoneticPr fontId="2"/>
  </si>
  <si>
    <t>YTCコンペ　社長　田代（晃）</t>
    <rPh sb="7" eb="9">
      <t>シャチョウ</t>
    </rPh>
    <rPh sb="10" eb="12">
      <t>タシロ</t>
    </rPh>
    <rPh sb="13" eb="14">
      <t>アキラ</t>
    </rPh>
    <phoneticPr fontId="2"/>
  </si>
  <si>
    <t>YTCコンペ　御殿場～横浜青葉本線</t>
    <rPh sb="7" eb="10">
      <t>ゴテンバ</t>
    </rPh>
    <rPh sb="11" eb="13">
      <t>ヨコハマ</t>
    </rPh>
    <rPh sb="13" eb="15">
      <t>アオバ</t>
    </rPh>
    <rPh sb="15" eb="17">
      <t>ホンセン</t>
    </rPh>
    <phoneticPr fontId="2"/>
  </si>
  <si>
    <t>YTCコンペ　横浜青葉～北新横浜</t>
    <rPh sb="7" eb="9">
      <t>ヨコハマ</t>
    </rPh>
    <rPh sb="9" eb="11">
      <t>アオバ</t>
    </rPh>
    <rPh sb="12" eb="16">
      <t>キタシンヨコハマ</t>
    </rPh>
    <phoneticPr fontId="2"/>
  </si>
  <si>
    <t>20240528　田代　44476</t>
    <rPh sb="9" eb="11">
      <t>タシロ</t>
    </rPh>
    <phoneticPr fontId="2"/>
  </si>
  <si>
    <t>2.1.5</t>
    <phoneticPr fontId="8"/>
  </si>
  <si>
    <t>交通費</t>
    <rPh sb="0" eb="3">
      <t>コウツウヒ</t>
    </rPh>
    <phoneticPr fontId="8"/>
  </si>
  <si>
    <t>宿泊費 4/17-4/26(9泊)</t>
    <rPh sb="0" eb="3">
      <t>シュクハクヒ</t>
    </rPh>
    <rPh sb="15" eb="16">
      <t>ハク</t>
    </rPh>
    <phoneticPr fontId="8"/>
  </si>
  <si>
    <t>洗濯代(領収書なし) \300x4回</t>
    <rPh sb="0" eb="2">
      <t>センタク</t>
    </rPh>
    <rPh sb="2" eb="3">
      <t>ダイ</t>
    </rPh>
    <rPh sb="4" eb="7">
      <t>リョウシュウショ</t>
    </rPh>
    <rPh sb="17" eb="18">
      <t>カイ</t>
    </rPh>
    <phoneticPr fontId="8"/>
  </si>
  <si>
    <t>20240530　冨尾木　162478</t>
    <rPh sb="9" eb="12">
      <t>トミオギ</t>
    </rPh>
    <phoneticPr fontId="2"/>
  </si>
  <si>
    <t>3月昼食費</t>
    <rPh sb="1" eb="2">
      <t>ガツ</t>
    </rPh>
    <rPh sb="2" eb="5">
      <t>チュウショクヒ</t>
    </rPh>
    <phoneticPr fontId="2"/>
  </si>
  <si>
    <t>工具配送費</t>
    <rPh sb="0" eb="2">
      <t>コウグ</t>
    </rPh>
    <rPh sb="2" eb="4">
      <t>ハイソウ</t>
    </rPh>
    <rPh sb="4" eb="5">
      <t>ヒ</t>
    </rPh>
    <phoneticPr fontId="2"/>
  </si>
  <si>
    <t>20240501　柿澤　87926</t>
    <rPh sb="9" eb="11">
      <t>カキザワ</t>
    </rPh>
    <phoneticPr fontId="2"/>
  </si>
  <si>
    <t>4月昼食代</t>
    <rPh sb="1" eb="2">
      <t>ガツ</t>
    </rPh>
    <rPh sb="2" eb="5">
      <t>チュウショクダイ</t>
    </rPh>
    <phoneticPr fontId="2"/>
  </si>
  <si>
    <t>23．4.26.10</t>
    <phoneticPr fontId="2"/>
  </si>
  <si>
    <t>駐車料金</t>
    <rPh sb="0" eb="2">
      <t>チュウシャ</t>
    </rPh>
    <rPh sb="2" eb="4">
      <t>リョウキン</t>
    </rPh>
    <phoneticPr fontId="2"/>
  </si>
  <si>
    <t>駐車料金</t>
    <rPh sb="0" eb="4">
      <t>チュウシャリョウキン</t>
    </rPh>
    <phoneticPr fontId="2"/>
  </si>
  <si>
    <t>20240501　柿澤　15040</t>
    <rPh sb="9" eb="11">
      <t>カキザワ</t>
    </rPh>
    <phoneticPr fontId="2"/>
  </si>
  <si>
    <t>旅費交通費　食事代</t>
    <rPh sb="0" eb="2">
      <t>リョヒ</t>
    </rPh>
    <rPh sb="2" eb="5">
      <t>コウツウヒ</t>
    </rPh>
    <rPh sb="6" eb="9">
      <t>ショクジダイ</t>
    </rPh>
    <phoneticPr fontId="2"/>
  </si>
  <si>
    <t>旅費交通費　交通費</t>
    <rPh sb="0" eb="2">
      <t>リョヒ</t>
    </rPh>
    <rPh sb="2" eb="5">
      <t>コウツウヒ</t>
    </rPh>
    <rPh sb="6" eb="9">
      <t>コウツウヒ</t>
    </rPh>
    <phoneticPr fontId="2"/>
  </si>
  <si>
    <t>旅費交通費　ガソリン代</t>
    <rPh sb="0" eb="2">
      <t>リョヒ</t>
    </rPh>
    <rPh sb="2" eb="5">
      <t>コウツウヒ</t>
    </rPh>
    <rPh sb="10" eb="11">
      <t>ダイ</t>
    </rPh>
    <phoneticPr fontId="2"/>
  </si>
  <si>
    <t>現場関係費　工具代</t>
    <rPh sb="0" eb="2">
      <t>ゲンバ</t>
    </rPh>
    <rPh sb="2" eb="5">
      <t>カンケイヒ</t>
    </rPh>
    <rPh sb="6" eb="9">
      <t>コウグダイ</t>
    </rPh>
    <phoneticPr fontId="2"/>
  </si>
  <si>
    <t>旅費交通費　ガソリン代</t>
    <rPh sb="0" eb="5">
      <t>リョヒコウツウヒ</t>
    </rPh>
    <rPh sb="10" eb="11">
      <t>ダイ</t>
    </rPh>
    <phoneticPr fontId="2"/>
  </si>
  <si>
    <t>仕入材料費　工事原材料</t>
    <rPh sb="0" eb="2">
      <t>シイ</t>
    </rPh>
    <rPh sb="2" eb="5">
      <t>ザイリョウヒ</t>
    </rPh>
    <rPh sb="6" eb="8">
      <t>コウジ</t>
    </rPh>
    <rPh sb="8" eb="11">
      <t>ゲンザイリョウ</t>
    </rPh>
    <phoneticPr fontId="2"/>
  </si>
  <si>
    <t>20240606　佐藤　61283</t>
    <rPh sb="9" eb="11">
      <t>サトウ</t>
    </rPh>
    <phoneticPr fontId="2"/>
  </si>
  <si>
    <t>5月昼食費</t>
    <rPh sb="1" eb="2">
      <t>ガツ</t>
    </rPh>
    <rPh sb="2" eb="5">
      <t>チュウショクヒ</t>
    </rPh>
    <phoneticPr fontId="2"/>
  </si>
  <si>
    <t>5.21.2</t>
    <phoneticPr fontId="2"/>
  </si>
  <si>
    <t>工事原材料</t>
    <rPh sb="0" eb="2">
      <t>コウジ</t>
    </rPh>
    <rPh sb="2" eb="5">
      <t>ゲンザイリョウ</t>
    </rPh>
    <phoneticPr fontId="2"/>
  </si>
  <si>
    <t>工事原材料</t>
    <rPh sb="0" eb="5">
      <t>コウジゲンザイリョウ</t>
    </rPh>
    <phoneticPr fontId="2"/>
  </si>
  <si>
    <t>2040610　柿澤　57351</t>
    <rPh sb="8" eb="10">
      <t>カキザワ</t>
    </rPh>
    <phoneticPr fontId="2"/>
  </si>
  <si>
    <t>交通費 重複申請分(別紙参照)</t>
    <rPh sb="0" eb="3">
      <t>コウツウヒ</t>
    </rPh>
    <rPh sb="4" eb="6">
      <t>ジュウフク</t>
    </rPh>
    <rPh sb="6" eb="8">
      <t>シンセイ</t>
    </rPh>
    <rPh sb="8" eb="9">
      <t>ブン</t>
    </rPh>
    <rPh sb="10" eb="14">
      <t>ベッシサンショウ</t>
    </rPh>
    <phoneticPr fontId="2"/>
  </si>
  <si>
    <t>20240610　柿澤　△4830</t>
    <rPh sb="9" eb="11">
      <t>カキザワ</t>
    </rPh>
    <phoneticPr fontId="2"/>
  </si>
  <si>
    <t>ETC代（汐入～川崎アクア接続）</t>
    <rPh sb="3" eb="4">
      <t>ダイ</t>
    </rPh>
    <rPh sb="5" eb="7">
      <t>シオイリ</t>
    </rPh>
    <rPh sb="8" eb="10">
      <t>カワサキ</t>
    </rPh>
    <rPh sb="13" eb="15">
      <t>セツゾク</t>
    </rPh>
    <phoneticPr fontId="2"/>
  </si>
  <si>
    <t>ETC代（木更津金田第一）</t>
    <rPh sb="3" eb="4">
      <t>ダイ</t>
    </rPh>
    <rPh sb="5" eb="8">
      <t>キサラズ</t>
    </rPh>
    <rPh sb="8" eb="10">
      <t>カネダ</t>
    </rPh>
    <rPh sb="10" eb="12">
      <t>ダイイチ</t>
    </rPh>
    <phoneticPr fontId="2"/>
  </si>
  <si>
    <t>ETC代（木更津金田第一～市原）</t>
    <rPh sb="3" eb="4">
      <t>ダイ</t>
    </rPh>
    <rPh sb="5" eb="10">
      <t>キサラズカネダ</t>
    </rPh>
    <rPh sb="10" eb="12">
      <t>ダイイチ</t>
    </rPh>
    <rPh sb="13" eb="15">
      <t>イチハラ</t>
    </rPh>
    <phoneticPr fontId="2"/>
  </si>
  <si>
    <t>3.25.6</t>
    <phoneticPr fontId="2"/>
  </si>
  <si>
    <t>工事原材料（T字足100ｍｍ、ホルソーＪ型ＢＭＪ－３６）</t>
    <rPh sb="0" eb="2">
      <t>コウジ</t>
    </rPh>
    <rPh sb="2" eb="5">
      <t>ゲンザイリョウ</t>
    </rPh>
    <rPh sb="7" eb="8">
      <t>ジ</t>
    </rPh>
    <rPh sb="8" eb="9">
      <t>アシ</t>
    </rPh>
    <rPh sb="20" eb="21">
      <t>ガタ</t>
    </rPh>
    <phoneticPr fontId="2"/>
  </si>
  <si>
    <t>ETC代（市原～木更津金田第一）</t>
    <rPh sb="3" eb="4">
      <t>ダイ</t>
    </rPh>
    <rPh sb="5" eb="7">
      <t>イチハラ</t>
    </rPh>
    <rPh sb="8" eb="15">
      <t>キサラズカネダダイイチ</t>
    </rPh>
    <phoneticPr fontId="2"/>
  </si>
  <si>
    <t>ETC代（木更津金田第一）</t>
    <rPh sb="3" eb="4">
      <t>ダイ</t>
    </rPh>
    <rPh sb="5" eb="12">
      <t>キサラズカネダダイイチ</t>
    </rPh>
    <phoneticPr fontId="2"/>
  </si>
  <si>
    <t>ETC代（川崎浮島本線～汐入）</t>
    <rPh sb="3" eb="4">
      <t>ダイ</t>
    </rPh>
    <rPh sb="5" eb="11">
      <t>カワサキウキシマホンセン</t>
    </rPh>
    <rPh sb="12" eb="14">
      <t>シオイリ</t>
    </rPh>
    <phoneticPr fontId="2"/>
  </si>
  <si>
    <t>工事原材料（TS-L25、TS-S25、SUS20A両長ニップル100ｍｍ、ＳＵＳ20A六角ニップル）</t>
    <rPh sb="0" eb="2">
      <t>コウジ</t>
    </rPh>
    <rPh sb="2" eb="5">
      <t>ゲンザイリョウ</t>
    </rPh>
    <rPh sb="26" eb="28">
      <t>リョウナガ</t>
    </rPh>
    <rPh sb="44" eb="46">
      <t>ロッカク</t>
    </rPh>
    <phoneticPr fontId="2"/>
  </si>
  <si>
    <t>工事原材料（SUS20A六角ニップル）</t>
    <rPh sb="0" eb="5">
      <t>コウジゲンザイリョウ</t>
    </rPh>
    <rPh sb="12" eb="14">
      <t>ロッカク</t>
    </rPh>
    <phoneticPr fontId="2"/>
  </si>
  <si>
    <t>工具（ホールカッターTG36）</t>
    <rPh sb="0" eb="2">
      <t>コウグ</t>
    </rPh>
    <phoneticPr fontId="2"/>
  </si>
  <si>
    <t>工事原材料（かべロックS LSW20VP、T字足100ｍｍ）</t>
    <rPh sb="0" eb="5">
      <t>コウジゲンザイリョウ</t>
    </rPh>
    <rPh sb="22" eb="24">
      <t>ジアシ</t>
    </rPh>
    <phoneticPr fontId="2"/>
  </si>
  <si>
    <t>工事原材料（SUS20Aエルボ、立カンバンド20A、T字足50ｍｍ）</t>
    <rPh sb="0" eb="5">
      <t>コウジゲンザイリョウ</t>
    </rPh>
    <rPh sb="16" eb="17">
      <t>タチ</t>
    </rPh>
    <rPh sb="27" eb="29">
      <t>ジアシ</t>
    </rPh>
    <phoneticPr fontId="2"/>
  </si>
  <si>
    <t>ETC代（汐入～川崎アクア接続）</t>
    <rPh sb="3" eb="4">
      <t>ダイ</t>
    </rPh>
    <rPh sb="5" eb="15">
      <t>シオイリカラカワサキアクアセツゾク</t>
    </rPh>
    <phoneticPr fontId="2"/>
  </si>
  <si>
    <t>20240618　山之内　40575</t>
    <rPh sb="9" eb="12">
      <t>ヤマノウチ</t>
    </rPh>
    <phoneticPr fontId="2"/>
  </si>
  <si>
    <t>墨壺</t>
    <rPh sb="0" eb="2">
      <t>スミツボ</t>
    </rPh>
    <phoneticPr fontId="8"/>
  </si>
  <si>
    <t>巻き尺</t>
    <rPh sb="0" eb="1">
      <t>マ</t>
    </rPh>
    <rPh sb="2" eb="3">
      <t>ジャク</t>
    </rPh>
    <phoneticPr fontId="8"/>
  </si>
  <si>
    <t>現場関係費</t>
    <phoneticPr fontId="8"/>
  </si>
  <si>
    <t>革手袋</t>
    <rPh sb="0" eb="3">
      <t>カワテブクロ</t>
    </rPh>
    <phoneticPr fontId="8"/>
  </si>
  <si>
    <t>燃料代</t>
    <rPh sb="0" eb="3">
      <t>ネンリョウダイ</t>
    </rPh>
    <phoneticPr fontId="8"/>
  </si>
  <si>
    <t>サンダー/工具袋</t>
    <rPh sb="5" eb="8">
      <t>コウグブクロ</t>
    </rPh>
    <phoneticPr fontId="8"/>
  </si>
  <si>
    <t>L形鋼/継手/吊りバンド/寸切ボルト</t>
    <rPh sb="1" eb="2">
      <t>ガタ</t>
    </rPh>
    <rPh sb="2" eb="3">
      <t>コウ</t>
    </rPh>
    <rPh sb="4" eb="6">
      <t>ツギテ</t>
    </rPh>
    <rPh sb="7" eb="8">
      <t>ツ</t>
    </rPh>
    <rPh sb="13" eb="15">
      <t>スンギリ</t>
    </rPh>
    <phoneticPr fontId="8"/>
  </si>
  <si>
    <t>スパイラルダクト/塗料</t>
    <rPh sb="9" eb="11">
      <t>トリョウ</t>
    </rPh>
    <phoneticPr fontId="8"/>
  </si>
  <si>
    <t>スパイラルダクト/継手</t>
    <rPh sb="9" eb="11">
      <t>ツギテ</t>
    </rPh>
    <phoneticPr fontId="8"/>
  </si>
  <si>
    <t>ソケットレンチ/スパナ</t>
    <phoneticPr fontId="8"/>
  </si>
  <si>
    <t>ゴルフ</t>
    <phoneticPr fontId="8"/>
  </si>
  <si>
    <t>ヘッドライト</t>
    <phoneticPr fontId="8"/>
  </si>
  <si>
    <t xml:space="preserve">宿泊費 ('24.5.7/'24.5.30 23泊) </t>
    <rPh sb="0" eb="3">
      <t>シュクハクヒ</t>
    </rPh>
    <rPh sb="24" eb="25">
      <t>ハク</t>
    </rPh>
    <phoneticPr fontId="8"/>
  </si>
  <si>
    <t>ゴムハンマー</t>
    <phoneticPr fontId="8"/>
  </si>
  <si>
    <t>トヨロンホース / ホースバンド</t>
    <phoneticPr fontId="8"/>
  </si>
  <si>
    <t xml:space="preserve">宿泊費 ('24.6.3/'24.6.7 4泊) </t>
    <rPh sb="0" eb="3">
      <t>シュクハクヒ</t>
    </rPh>
    <rPh sb="22" eb="23">
      <t>ハク</t>
    </rPh>
    <phoneticPr fontId="8"/>
  </si>
  <si>
    <t xml:space="preserve">宿泊費 ('24.6.7/'24.6.8 1泊) </t>
    <rPh sb="0" eb="3">
      <t>シュクハクヒ</t>
    </rPh>
    <rPh sb="22" eb="23">
      <t>ハク</t>
    </rPh>
    <phoneticPr fontId="8"/>
  </si>
  <si>
    <t>土産代</t>
    <rPh sb="0" eb="2">
      <t>ミヤゲ</t>
    </rPh>
    <rPh sb="2" eb="3">
      <t>ダイ</t>
    </rPh>
    <phoneticPr fontId="8"/>
  </si>
  <si>
    <t>洗濯代(領収書なし) \300x18回</t>
    <rPh sb="0" eb="2">
      <t>センタク</t>
    </rPh>
    <rPh sb="2" eb="3">
      <t>ダイ</t>
    </rPh>
    <rPh sb="4" eb="7">
      <t>リョウシュウショ</t>
    </rPh>
    <rPh sb="18" eb="19">
      <t>カイ</t>
    </rPh>
    <phoneticPr fontId="8"/>
  </si>
  <si>
    <t>20240620　冨尾木　672932</t>
    <rPh sb="9" eb="12">
      <t>トミオギ</t>
    </rPh>
    <phoneticPr fontId="2"/>
  </si>
  <si>
    <t>駐車場代</t>
    <rPh sb="0" eb="4">
      <t>チュウシャジョウダイ</t>
    </rPh>
    <phoneticPr fontId="2"/>
  </si>
  <si>
    <t>食費(6月昼食）</t>
    <rPh sb="0" eb="2">
      <t>ショクヒ</t>
    </rPh>
    <rPh sb="4" eb="5">
      <t>ガツ</t>
    </rPh>
    <rPh sb="5" eb="7">
      <t>チュウショク</t>
    </rPh>
    <phoneticPr fontId="2"/>
  </si>
  <si>
    <t>20240701 柿澤　16597</t>
    <rPh sb="9" eb="11">
      <t>カキザワ</t>
    </rPh>
    <phoneticPr fontId="2"/>
  </si>
  <si>
    <t>23.10.6.1</t>
    <phoneticPr fontId="2"/>
  </si>
  <si>
    <t>高速代　第三京浜接続～生麦</t>
    <rPh sb="0" eb="2">
      <t>コウソク</t>
    </rPh>
    <rPh sb="2" eb="3">
      <t>ダイ</t>
    </rPh>
    <rPh sb="11" eb="13">
      <t>ナマムギ</t>
    </rPh>
    <phoneticPr fontId="2"/>
  </si>
  <si>
    <t>高速代　岸谷生麦下～首都横浜青葉</t>
    <rPh sb="0" eb="2">
      <t>コウソク</t>
    </rPh>
    <rPh sb="2" eb="3">
      <t>ダイ</t>
    </rPh>
    <rPh sb="4" eb="6">
      <t>キシヤ</t>
    </rPh>
    <rPh sb="6" eb="8">
      <t>ナマムギ</t>
    </rPh>
    <rPh sb="8" eb="9">
      <t>シタ</t>
    </rPh>
    <rPh sb="10" eb="12">
      <t>シュト</t>
    </rPh>
    <rPh sb="12" eb="16">
      <t>ヨコハマアオバ</t>
    </rPh>
    <phoneticPr fontId="2"/>
  </si>
  <si>
    <t>高速代　横浜青葉本線～寒川南</t>
    <rPh sb="0" eb="2">
      <t>コウソク</t>
    </rPh>
    <rPh sb="2" eb="3">
      <t>ダイ</t>
    </rPh>
    <rPh sb="4" eb="6">
      <t>ヨコハマ</t>
    </rPh>
    <rPh sb="6" eb="8">
      <t>アオバ</t>
    </rPh>
    <rPh sb="8" eb="10">
      <t>ホンセン</t>
    </rPh>
    <rPh sb="11" eb="14">
      <t>サムカワミナミ</t>
    </rPh>
    <phoneticPr fontId="2"/>
  </si>
  <si>
    <t>高速代　寒川南～横浜青葉本線</t>
    <rPh sb="0" eb="2">
      <t>コウソク</t>
    </rPh>
    <rPh sb="2" eb="3">
      <t>ダイ</t>
    </rPh>
    <rPh sb="4" eb="6">
      <t>サムカワ</t>
    </rPh>
    <rPh sb="6" eb="7">
      <t>ミナミ</t>
    </rPh>
    <rPh sb="8" eb="10">
      <t>ヨコハマ</t>
    </rPh>
    <rPh sb="10" eb="12">
      <t>アオバ</t>
    </rPh>
    <rPh sb="12" eb="14">
      <t>ホンセン</t>
    </rPh>
    <phoneticPr fontId="2"/>
  </si>
  <si>
    <t>23.10.6.1</t>
  </si>
  <si>
    <t>20240708　中村　34230</t>
    <rPh sb="9" eb="11">
      <t>ナカムラ</t>
    </rPh>
    <phoneticPr fontId="2"/>
  </si>
  <si>
    <t>厚生費</t>
  </si>
  <si>
    <t>懇親会費用代（炭、トング、除菌シート）</t>
    <rPh sb="5" eb="6">
      <t>ダイ</t>
    </rPh>
    <rPh sb="7" eb="8">
      <t>スミ</t>
    </rPh>
    <rPh sb="13" eb="15">
      <t>ジョキン</t>
    </rPh>
    <phoneticPr fontId="2"/>
  </si>
  <si>
    <t>懇親会費用代（氷、食材、調味料他）</t>
    <rPh sb="5" eb="6">
      <t>ダイ</t>
    </rPh>
    <rPh sb="7" eb="8">
      <t>コオリ</t>
    </rPh>
    <rPh sb="9" eb="11">
      <t>ショクザイ</t>
    </rPh>
    <rPh sb="12" eb="15">
      <t>チョウミリョウ</t>
    </rPh>
    <rPh sb="15" eb="16">
      <t>ホカ</t>
    </rPh>
    <phoneticPr fontId="2"/>
  </si>
  <si>
    <t>懇親会費用代（乾き物、食材、調味料他）</t>
    <rPh sb="5" eb="6">
      <t>ダイ</t>
    </rPh>
    <rPh sb="7" eb="8">
      <t>カワ</t>
    </rPh>
    <rPh sb="9" eb="10">
      <t>モノ</t>
    </rPh>
    <rPh sb="11" eb="13">
      <t>ショクザイ</t>
    </rPh>
    <rPh sb="14" eb="17">
      <t>チョウミリョウ</t>
    </rPh>
    <rPh sb="17" eb="18">
      <t>ホカ</t>
    </rPh>
    <phoneticPr fontId="2"/>
  </si>
  <si>
    <t>懇親会費用代（食材、調味料他）</t>
    <rPh sb="5" eb="6">
      <t>ダイ</t>
    </rPh>
    <rPh sb="7" eb="9">
      <t>ショクザイ</t>
    </rPh>
    <rPh sb="10" eb="13">
      <t>チョウミリョウ</t>
    </rPh>
    <rPh sb="13" eb="14">
      <t>ホカ</t>
    </rPh>
    <phoneticPr fontId="2"/>
  </si>
  <si>
    <t>懇親会費用代（飲料）</t>
    <rPh sb="5" eb="6">
      <t>ダイ</t>
    </rPh>
    <rPh sb="7" eb="9">
      <t>インリョウ</t>
    </rPh>
    <phoneticPr fontId="2"/>
  </si>
  <si>
    <t>22040708　中村　220480</t>
    <rPh sb="9" eb="11">
      <t>ナカムラ</t>
    </rPh>
    <phoneticPr fontId="2"/>
  </si>
  <si>
    <t>20240716　柿澤　28700</t>
    <rPh sb="9" eb="11">
      <t>カキザワ</t>
    </rPh>
    <phoneticPr fontId="2"/>
  </si>
  <si>
    <t>20240723　佐藤　73557</t>
    <rPh sb="9" eb="11">
      <t>サトウ</t>
    </rPh>
    <phoneticPr fontId="2"/>
  </si>
  <si>
    <t>旅費交通費　ガソリン代</t>
  </si>
  <si>
    <t>旅費交通費　食事代</t>
  </si>
  <si>
    <t>仕入材料費　工事原材料</t>
  </si>
  <si>
    <t>旅費交通費　高速道路代</t>
  </si>
  <si>
    <t>タクシー代</t>
    <rPh sb="4" eb="5">
      <t>ダイ</t>
    </rPh>
    <phoneticPr fontId="2"/>
  </si>
  <si>
    <t>タクシー代</t>
    <phoneticPr fontId="2"/>
  </si>
  <si>
    <t>食事代</t>
    <phoneticPr fontId="2"/>
  </si>
  <si>
    <t>交通費</t>
    <phoneticPr fontId="2"/>
  </si>
  <si>
    <t>6.5.2</t>
    <phoneticPr fontId="2"/>
  </si>
  <si>
    <t>高速代　汐入～東北道接続</t>
    <rPh sb="0" eb="3">
      <t>コウソクダイ</t>
    </rPh>
    <rPh sb="4" eb="6">
      <t>シオイリ</t>
    </rPh>
    <rPh sb="7" eb="10">
      <t>トウホクドウ</t>
    </rPh>
    <rPh sb="10" eb="12">
      <t>セツゾク</t>
    </rPh>
    <phoneticPr fontId="2"/>
  </si>
  <si>
    <t>高速代　浦和本線～宇都宮上三川</t>
    <rPh sb="0" eb="3">
      <t>コウソクダイ</t>
    </rPh>
    <rPh sb="4" eb="8">
      <t>ウラワホンセン</t>
    </rPh>
    <rPh sb="9" eb="12">
      <t>ウツノミヤ</t>
    </rPh>
    <rPh sb="12" eb="13">
      <t>カミ</t>
    </rPh>
    <rPh sb="13" eb="14">
      <t>サン</t>
    </rPh>
    <rPh sb="14" eb="15">
      <t>ガワ</t>
    </rPh>
    <phoneticPr fontId="2"/>
  </si>
  <si>
    <t>高速代　宇都宮上三川～浦和本線</t>
    <rPh sb="0" eb="3">
      <t>コウソクダイ</t>
    </rPh>
    <rPh sb="4" eb="7">
      <t>ウツノミヤ</t>
    </rPh>
    <rPh sb="7" eb="10">
      <t>カミサンガワ</t>
    </rPh>
    <rPh sb="11" eb="15">
      <t>ウラワホンセン</t>
    </rPh>
    <phoneticPr fontId="2"/>
  </si>
  <si>
    <t>高速代　東北道接続～汐入</t>
    <rPh sb="0" eb="3">
      <t>コウソクダイ</t>
    </rPh>
    <rPh sb="4" eb="7">
      <t>トウホクドウ</t>
    </rPh>
    <rPh sb="7" eb="9">
      <t>セツゾク</t>
    </rPh>
    <rPh sb="10" eb="12">
      <t>シオイリ</t>
    </rPh>
    <phoneticPr fontId="2"/>
  </si>
  <si>
    <t>高速代　真岡～浦和本線</t>
    <rPh sb="0" eb="3">
      <t>コウソクダイ</t>
    </rPh>
    <rPh sb="4" eb="6">
      <t>モオカ</t>
    </rPh>
    <rPh sb="7" eb="11">
      <t>ウラワホンセン</t>
    </rPh>
    <phoneticPr fontId="2"/>
  </si>
  <si>
    <t>高速代　東北道接続～戸越</t>
    <rPh sb="0" eb="3">
      <t>コウソクダイ</t>
    </rPh>
    <rPh sb="4" eb="7">
      <t>トウホクドウ</t>
    </rPh>
    <rPh sb="7" eb="9">
      <t>セツゾク</t>
    </rPh>
    <rPh sb="10" eb="12">
      <t>トゴシ</t>
    </rPh>
    <phoneticPr fontId="2"/>
  </si>
  <si>
    <t>高速代　汐入～東北道接続</t>
    <rPh sb="0" eb="3">
      <t>コウソクダイ</t>
    </rPh>
    <rPh sb="4" eb="6">
      <t>シオイリ</t>
    </rPh>
    <rPh sb="7" eb="12">
      <t>トウホクドウセツゾク</t>
    </rPh>
    <phoneticPr fontId="2"/>
  </si>
  <si>
    <t>20240725 小仁所　41262</t>
    <rPh sb="9" eb="12">
      <t>コニショ</t>
    </rPh>
    <phoneticPr fontId="2"/>
  </si>
  <si>
    <t>交通費（別紙参照）JR</t>
    <rPh sb="0" eb="3">
      <t>コウツウヒ</t>
    </rPh>
    <rPh sb="4" eb="8">
      <t>ベッシサンショウ</t>
    </rPh>
    <phoneticPr fontId="2"/>
  </si>
  <si>
    <t>交通費（別紙参照）JR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</si>
</sst>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;@"/>
    <numFmt numFmtId="177" formatCode="#,##0_);[Red]\(#,##0\)"/>
    <numFmt numFmtId="178" formatCode="#,##0_ ;[Red]\-#,##0\ 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8" tint="0.39994506668294322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sz val="6"/>
      <name val="Meiryo UI"/>
      <family val="2"/>
      <charset val="128"/>
    </font>
    <font>
      <sz val="1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38" fontId="0" fillId="0" borderId="0" xfId="1" applyFont="1">
      <alignment vertical="center"/>
    </xf>
    <xf numFmtId="0" fontId="0" fillId="0" borderId="17" xfId="0" applyBorder="1" applyAlignment="1">
      <alignment horizontal="center" vertical="center"/>
    </xf>
    <xf numFmtId="38" fontId="0" fillId="0" borderId="3" xfId="0" applyNumberFormat="1" applyBorder="1" applyAlignment="1" applyProtection="1">
      <alignment vertical="center" shrinkToFit="1"/>
      <protection locked="0"/>
    </xf>
    <xf numFmtId="176" fontId="0" fillId="0" borderId="4" xfId="0" applyNumberFormat="1" applyBorder="1" applyProtection="1">
      <alignment vertical="center"/>
      <protection locked="0"/>
    </xf>
    <xf numFmtId="0" fontId="0" fillId="0" borderId="4" xfId="0" applyBorder="1" applyProtection="1">
      <alignment vertical="center"/>
      <protection locked="0"/>
    </xf>
    <xf numFmtId="38" fontId="0" fillId="0" borderId="11" xfId="0" applyNumberFormat="1" applyBorder="1" applyAlignment="1" applyProtection="1">
      <alignment vertical="center" shrinkToFit="1"/>
      <protection locked="0"/>
    </xf>
    <xf numFmtId="176" fontId="0" fillId="0" borderId="12" xfId="0" applyNumberFormat="1" applyBorder="1" applyProtection="1">
      <alignment vertical="center"/>
      <protection locked="0"/>
    </xf>
    <xf numFmtId="0" fontId="0" fillId="0" borderId="12" xfId="0" applyBorder="1" applyProtection="1">
      <alignment vertical="center"/>
      <protection locked="0"/>
    </xf>
    <xf numFmtId="38" fontId="0" fillId="0" borderId="9" xfId="0" applyNumberFormat="1" applyBorder="1" applyAlignment="1" applyProtection="1">
      <alignment horizontal="center" vertical="center"/>
      <protection locked="0"/>
    </xf>
    <xf numFmtId="38" fontId="0" fillId="0" borderId="10" xfId="0" applyNumberFormat="1" applyBorder="1" applyAlignment="1" applyProtection="1">
      <alignment horizontal="center" vertical="center"/>
      <protection locked="0"/>
    </xf>
    <xf numFmtId="38" fontId="0" fillId="0" borderId="0" xfId="0" applyNumberForma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shrinkToFit="1"/>
    </xf>
    <xf numFmtId="0" fontId="4" fillId="3" borderId="6" xfId="0" applyFont="1" applyFill="1" applyBorder="1" applyAlignment="1">
      <alignment horizontal="center" vertical="center" shrinkToFit="1"/>
    </xf>
    <xf numFmtId="0" fontId="4" fillId="3" borderId="7" xfId="0" applyFont="1" applyFill="1" applyBorder="1" applyAlignment="1">
      <alignment horizontal="center" vertical="center" shrinkToFit="1"/>
    </xf>
    <xf numFmtId="0" fontId="4" fillId="3" borderId="13" xfId="0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177" fontId="0" fillId="0" borderId="5" xfId="1" applyNumberFormat="1" applyFont="1" applyBorder="1" applyAlignment="1" applyProtection="1">
      <alignment vertical="center" shrinkToFit="1"/>
      <protection locked="0"/>
    </xf>
    <xf numFmtId="177" fontId="0" fillId="0" borderId="4" xfId="1" applyNumberFormat="1" applyFont="1" applyBorder="1" applyAlignment="1" applyProtection="1">
      <alignment vertical="center" shrinkToFit="1"/>
      <protection locked="0"/>
    </xf>
    <xf numFmtId="177" fontId="0" fillId="0" borderId="4" xfId="0" applyNumberFormat="1" applyBorder="1" applyAlignment="1" applyProtection="1">
      <alignment vertical="center" shrinkToFit="1"/>
      <protection locked="0"/>
    </xf>
    <xf numFmtId="177" fontId="0" fillId="0" borderId="12" xfId="0" applyNumberFormat="1" applyBorder="1" applyAlignment="1" applyProtection="1">
      <alignment vertical="center" shrinkToFit="1"/>
      <protection locked="0"/>
    </xf>
    <xf numFmtId="177" fontId="0" fillId="0" borderId="7" xfId="0" applyNumberFormat="1" applyBorder="1" applyAlignment="1">
      <alignment vertical="center" shrinkToFit="1"/>
    </xf>
    <xf numFmtId="177" fontId="0" fillId="0" borderId="3" xfId="1" applyNumberFormat="1" applyFont="1" applyBorder="1" applyAlignment="1" applyProtection="1">
      <alignment vertical="center" shrinkToFit="1"/>
      <protection locked="0"/>
    </xf>
    <xf numFmtId="177" fontId="0" fillId="0" borderId="14" xfId="1" applyNumberFormat="1" applyFont="1" applyBorder="1" applyAlignment="1" applyProtection="1">
      <alignment vertical="center" shrinkToFit="1"/>
      <protection locked="0"/>
    </xf>
    <xf numFmtId="178" fontId="0" fillId="0" borderId="9" xfId="1" applyNumberFormat="1" applyFont="1" applyBorder="1" applyAlignment="1">
      <alignment vertical="center" shrinkToFit="1"/>
    </xf>
    <xf numFmtId="178" fontId="0" fillId="0" borderId="0" xfId="1" applyNumberFormat="1" applyFont="1" applyAlignment="1">
      <alignment vertical="center" shrinkToFit="1"/>
    </xf>
    <xf numFmtId="177" fontId="0" fillId="0" borderId="14" xfId="0" applyNumberFormat="1" applyBorder="1" applyAlignment="1" applyProtection="1">
      <alignment vertical="center" shrinkToFit="1"/>
      <protection locked="0"/>
    </xf>
    <xf numFmtId="177" fontId="0" fillId="0" borderId="11" xfId="1" applyNumberFormat="1" applyFont="1" applyBorder="1" applyAlignment="1" applyProtection="1">
      <alignment vertical="center" shrinkToFit="1"/>
      <protection locked="0"/>
    </xf>
    <xf numFmtId="177" fontId="0" fillId="0" borderId="12" xfId="1" applyNumberFormat="1" applyFont="1" applyBorder="1" applyAlignment="1" applyProtection="1">
      <alignment vertical="center" shrinkToFit="1"/>
      <protection locked="0"/>
    </xf>
    <xf numFmtId="177" fontId="0" fillId="0" borderId="15" xfId="1" applyNumberFormat="1" applyFont="1" applyBorder="1" applyAlignment="1" applyProtection="1">
      <alignment vertical="center" shrinkToFit="1"/>
      <protection locked="0"/>
    </xf>
    <xf numFmtId="178" fontId="0" fillId="0" borderId="16" xfId="1" applyNumberFormat="1" applyFont="1" applyBorder="1" applyAlignment="1">
      <alignment vertical="center" shrinkToFit="1"/>
    </xf>
    <xf numFmtId="177" fontId="0" fillId="0" borderId="6" xfId="0" applyNumberFormat="1" applyBorder="1" applyAlignment="1">
      <alignment vertical="center" shrinkToFit="1"/>
    </xf>
    <xf numFmtId="177" fontId="0" fillId="0" borderId="13" xfId="0" applyNumberFormat="1" applyBorder="1" applyAlignment="1">
      <alignment vertical="center" shrinkToFit="1"/>
    </xf>
    <xf numFmtId="178" fontId="0" fillId="0" borderId="1" xfId="1" applyNumberFormat="1" applyFont="1" applyBorder="1" applyAlignment="1">
      <alignment vertical="center" shrinkToFit="1"/>
    </xf>
    <xf numFmtId="0" fontId="3" fillId="0" borderId="2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0" fillId="0" borderId="17" xfId="0" applyBorder="1" applyAlignment="1">
      <alignment horizontal="right" vertical="center"/>
    </xf>
    <xf numFmtId="177" fontId="0" fillId="0" borderId="19" xfId="0" applyNumberFormat="1" applyBorder="1" applyAlignment="1">
      <alignment vertical="center" shrinkToFit="1"/>
    </xf>
    <xf numFmtId="177" fontId="4" fillId="0" borderId="20" xfId="0" applyNumberFormat="1" applyFont="1" applyBorder="1" applyAlignment="1">
      <alignment vertical="center" shrinkToFit="1"/>
    </xf>
    <xf numFmtId="0" fontId="4" fillId="2" borderId="13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vertical="center" indent="4"/>
    </xf>
    <xf numFmtId="0" fontId="0" fillId="0" borderId="0" xfId="0" applyAlignment="1">
      <alignment horizontal="left" vertical="center" indent="5"/>
    </xf>
    <xf numFmtId="0" fontId="6" fillId="4" borderId="23" xfId="0" applyFont="1" applyFill="1" applyBorder="1" applyAlignment="1">
      <alignment horizontal="center" vertical="center"/>
    </xf>
    <xf numFmtId="0" fontId="0" fillId="0" borderId="14" xfId="0" applyBorder="1" applyAlignment="1" applyProtection="1">
      <alignment vertical="center" shrinkToFit="1"/>
      <protection locked="0"/>
    </xf>
    <xf numFmtId="0" fontId="0" fillId="0" borderId="21" xfId="0" applyBorder="1" applyAlignment="1">
      <alignment vertical="center" shrinkToFit="1"/>
    </xf>
    <xf numFmtId="38" fontId="7" fillId="0" borderId="3" xfId="0" applyNumberFormat="1" applyFont="1" applyBorder="1" applyAlignment="1" applyProtection="1">
      <alignment vertical="center" shrinkToFit="1"/>
      <protection locked="0"/>
    </xf>
    <xf numFmtId="176" fontId="7" fillId="0" borderId="4" xfId="0" applyNumberFormat="1" applyFont="1" applyBorder="1" applyProtection="1">
      <alignment vertical="center"/>
      <protection locked="0"/>
    </xf>
    <xf numFmtId="0" fontId="7" fillId="0" borderId="4" xfId="0" applyFont="1" applyBorder="1" applyProtection="1">
      <alignment vertical="center"/>
      <protection locked="0"/>
    </xf>
    <xf numFmtId="177" fontId="7" fillId="0" borderId="4" xfId="0" applyNumberFormat="1" applyFont="1" applyBorder="1" applyAlignment="1" applyProtection="1">
      <alignment vertical="center" shrinkToFit="1"/>
      <protection locked="0"/>
    </xf>
    <xf numFmtId="38" fontId="7" fillId="0" borderId="0" xfId="1" applyFont="1">
      <alignment vertical="center"/>
    </xf>
    <xf numFmtId="38" fontId="1" fillId="0" borderId="9" xfId="2" applyNumberFormat="1" applyBorder="1" applyAlignment="1" applyProtection="1">
      <alignment horizontal="center" vertical="center"/>
      <protection locked="0"/>
    </xf>
    <xf numFmtId="38" fontId="1" fillId="0" borderId="0" xfId="2" applyNumberFormat="1">
      <alignment vertical="center"/>
    </xf>
    <xf numFmtId="177" fontId="0" fillId="0" borderId="3" xfId="3" applyNumberFormat="1" applyFont="1" applyBorder="1" applyAlignment="1" applyProtection="1">
      <alignment vertical="center" shrinkToFit="1"/>
      <protection locked="0"/>
    </xf>
    <xf numFmtId="177" fontId="0" fillId="0" borderId="4" xfId="3" applyNumberFormat="1" applyFont="1" applyBorder="1" applyAlignment="1" applyProtection="1">
      <alignment vertical="center" shrinkToFit="1"/>
      <protection locked="0"/>
    </xf>
    <xf numFmtId="177" fontId="0" fillId="0" borderId="14" xfId="3" applyNumberFormat="1" applyFont="1" applyBorder="1" applyAlignment="1" applyProtection="1">
      <alignment vertical="center" shrinkToFit="1"/>
      <protection locked="0"/>
    </xf>
    <xf numFmtId="178" fontId="7" fillId="0" borderId="9" xfId="1" applyNumberFormat="1" applyFont="1" applyBorder="1" applyAlignment="1">
      <alignment vertical="center" shrinkToFit="1"/>
    </xf>
    <xf numFmtId="0" fontId="7" fillId="0" borderId="0" xfId="0" applyFont="1">
      <alignment vertical="center"/>
    </xf>
    <xf numFmtId="177" fontId="7" fillId="0" borderId="5" xfId="1" applyNumberFormat="1" applyFont="1" applyBorder="1" applyAlignment="1" applyProtection="1">
      <alignment vertical="center" shrinkToFit="1"/>
      <protection locked="0"/>
    </xf>
    <xf numFmtId="177" fontId="7" fillId="0" borderId="4" xfId="1" applyNumberFormat="1" applyFont="1" applyBorder="1" applyAlignment="1" applyProtection="1">
      <alignment vertical="center" shrinkToFit="1"/>
      <protection locked="0"/>
    </xf>
    <xf numFmtId="177" fontId="1" fillId="0" borderId="14" xfId="2" applyNumberFormat="1" applyBorder="1" applyAlignment="1" applyProtection="1">
      <alignment vertical="center" shrinkToFit="1"/>
      <protection locked="0"/>
    </xf>
    <xf numFmtId="178" fontId="0" fillId="0" borderId="3" xfId="1" applyNumberFormat="1" applyFont="1" applyBorder="1" applyAlignment="1">
      <alignment vertical="center" shrinkToFit="1"/>
    </xf>
    <xf numFmtId="178" fontId="0" fillId="0" borderId="14" xfId="1" applyNumberFormat="1" applyFont="1" applyBorder="1" applyAlignment="1">
      <alignment vertical="center" shrinkToFit="1"/>
    </xf>
    <xf numFmtId="178" fontId="0" fillId="0" borderId="11" xfId="1" applyNumberFormat="1" applyFont="1" applyBorder="1" applyAlignment="1">
      <alignment vertical="center" shrinkToFit="1"/>
    </xf>
    <xf numFmtId="178" fontId="0" fillId="0" borderId="15" xfId="1" applyNumberFormat="1" applyFont="1" applyBorder="1" applyAlignment="1">
      <alignment vertical="center" shrinkToFit="1"/>
    </xf>
    <xf numFmtId="38" fontId="7" fillId="0" borderId="9" xfId="0" applyNumberFormat="1" applyFont="1" applyBorder="1" applyAlignment="1" applyProtection="1">
      <alignment horizontal="center" vertical="center"/>
      <protection locked="0"/>
    </xf>
    <xf numFmtId="38" fontId="7" fillId="0" borderId="0" xfId="0" applyNumberFormat="1" applyFont="1">
      <alignment vertical="center"/>
    </xf>
    <xf numFmtId="177" fontId="7" fillId="0" borderId="3" xfId="1" applyNumberFormat="1" applyFont="1" applyBorder="1" applyAlignment="1" applyProtection="1">
      <alignment vertical="center" shrinkToFit="1"/>
      <protection locked="0"/>
    </xf>
    <xf numFmtId="177" fontId="7" fillId="0" borderId="14" xfId="1" applyNumberFormat="1" applyFont="1" applyBorder="1" applyAlignment="1" applyProtection="1">
      <alignment vertical="center" shrinkToFit="1"/>
      <protection locked="0"/>
    </xf>
    <xf numFmtId="178" fontId="7" fillId="0" borderId="0" xfId="1" applyNumberFormat="1" applyFont="1" applyAlignment="1">
      <alignment vertical="center" shrinkToFit="1"/>
    </xf>
    <xf numFmtId="178" fontId="7" fillId="0" borderId="3" xfId="1" applyNumberFormat="1" applyFont="1" applyBorder="1" applyAlignment="1">
      <alignment vertical="center" shrinkToFit="1"/>
    </xf>
    <xf numFmtId="178" fontId="7" fillId="0" borderId="14" xfId="1" applyNumberFormat="1" applyFont="1" applyBorder="1" applyAlignment="1">
      <alignment vertical="center" shrinkToFit="1"/>
    </xf>
    <xf numFmtId="177" fontId="7" fillId="0" borderId="14" xfId="0" applyNumberFormat="1" applyFont="1" applyBorder="1" applyAlignment="1" applyProtection="1">
      <alignment vertical="center" shrinkToFit="1"/>
      <protection locked="0"/>
    </xf>
    <xf numFmtId="38" fontId="7" fillId="0" borderId="11" xfId="0" applyNumberFormat="1" applyFont="1" applyBorder="1" applyAlignment="1" applyProtection="1">
      <alignment vertical="center" shrinkToFit="1"/>
      <protection locked="0"/>
    </xf>
    <xf numFmtId="38" fontId="7" fillId="0" borderId="10" xfId="0" applyNumberFormat="1" applyFont="1" applyBorder="1" applyAlignment="1" applyProtection="1">
      <alignment horizontal="center" vertical="center"/>
      <protection locked="0"/>
    </xf>
    <xf numFmtId="177" fontId="7" fillId="0" borderId="11" xfId="1" applyNumberFormat="1" applyFont="1" applyBorder="1" applyAlignment="1" applyProtection="1">
      <alignment vertical="center" shrinkToFit="1"/>
      <protection locked="0"/>
    </xf>
    <xf numFmtId="177" fontId="7" fillId="0" borderId="12" xfId="1" applyNumberFormat="1" applyFont="1" applyBorder="1" applyAlignment="1" applyProtection="1">
      <alignment vertical="center" shrinkToFit="1"/>
      <protection locked="0"/>
    </xf>
    <xf numFmtId="177" fontId="7" fillId="0" borderId="15" xfId="1" applyNumberFormat="1" applyFont="1" applyBorder="1" applyAlignment="1" applyProtection="1">
      <alignment vertical="center" shrinkToFit="1"/>
      <protection locked="0"/>
    </xf>
    <xf numFmtId="178" fontId="7" fillId="0" borderId="16" xfId="1" applyNumberFormat="1" applyFont="1" applyBorder="1" applyAlignment="1">
      <alignment vertical="center" shrinkToFit="1"/>
    </xf>
    <xf numFmtId="178" fontId="7" fillId="0" borderId="11" xfId="1" applyNumberFormat="1" applyFont="1" applyBorder="1" applyAlignment="1">
      <alignment vertical="center" shrinkToFit="1"/>
    </xf>
    <xf numFmtId="178" fontId="7" fillId="0" borderId="15" xfId="1" applyNumberFormat="1" applyFont="1" applyBorder="1" applyAlignment="1">
      <alignment vertical="center" shrinkToFit="1"/>
    </xf>
    <xf numFmtId="0" fontId="9" fillId="0" borderId="0" xfId="0" applyFont="1">
      <alignment vertical="center"/>
    </xf>
    <xf numFmtId="177" fontId="0" fillId="0" borderId="24" xfId="1" applyNumberFormat="1" applyFont="1" applyBorder="1" applyAlignment="1" applyProtection="1">
      <alignment vertical="center" shrinkToFit="1"/>
      <protection locked="0"/>
    </xf>
    <xf numFmtId="177" fontId="0" fillId="0" borderId="24" xfId="0" applyNumberFormat="1" applyBorder="1" applyAlignment="1" applyProtection="1">
      <alignment vertical="center" shrinkToFit="1"/>
      <protection locked="0"/>
    </xf>
    <xf numFmtId="177" fontId="0" fillId="0" borderId="25" xfId="0" applyNumberFormat="1" applyBorder="1" applyAlignment="1" applyProtection="1">
      <alignment vertical="center" shrinkToFit="1"/>
      <protection locked="0"/>
    </xf>
    <xf numFmtId="0" fontId="7" fillId="0" borderId="14" xfId="0" applyFont="1" applyBorder="1" applyAlignment="1" applyProtection="1">
      <alignment vertical="center" shrinkToFit="1"/>
      <protection locked="0"/>
    </xf>
    <xf numFmtId="0" fontId="7" fillId="0" borderId="21" xfId="0" applyFont="1" applyBorder="1" applyAlignment="1">
      <alignment vertical="center" shrinkToFit="1"/>
    </xf>
    <xf numFmtId="0" fontId="0" fillId="0" borderId="14" xfId="0" applyBorder="1" applyAlignment="1" applyProtection="1">
      <alignment vertical="center" shrinkToFit="1"/>
      <protection locked="0"/>
    </xf>
    <xf numFmtId="0" fontId="0" fillId="0" borderId="21" xfId="0" applyBorder="1" applyAlignment="1">
      <alignment vertical="center" shrinkToFit="1"/>
    </xf>
    <xf numFmtId="0" fontId="7" fillId="0" borderId="21" xfId="0" applyFont="1" applyBorder="1" applyAlignment="1" applyProtection="1">
      <alignment vertical="center" shrinkToFit="1"/>
      <protection locked="0"/>
    </xf>
    <xf numFmtId="0" fontId="0" fillId="0" borderId="15" xfId="0" applyBorder="1" applyAlignment="1" applyProtection="1">
      <alignment vertical="center" shrinkToFit="1"/>
      <protection locked="0"/>
    </xf>
    <xf numFmtId="0" fontId="0" fillId="0" borderId="22" xfId="0" applyBorder="1" applyAlignment="1">
      <alignment vertical="center" shrinkToFit="1"/>
    </xf>
    <xf numFmtId="0" fontId="7" fillId="0" borderId="15" xfId="0" applyFont="1" applyBorder="1" applyAlignment="1" applyProtection="1">
      <alignment vertical="center" shrinkToFit="1"/>
      <protection locked="0"/>
    </xf>
    <xf numFmtId="0" fontId="7" fillId="0" borderId="22" xfId="0" applyFont="1" applyBorder="1" applyAlignment="1" applyProtection="1">
      <alignment vertical="center" shrinkToFit="1"/>
      <protection locked="0"/>
    </xf>
    <xf numFmtId="0" fontId="0" fillId="0" borderId="21" xfId="0" applyBorder="1" applyAlignment="1" applyProtection="1">
      <alignment vertical="center" shrinkToFit="1"/>
      <protection locked="0"/>
    </xf>
  </cellXfs>
  <cellStyles count="4">
    <cellStyle name="桁区切り" xfId="1" builtinId="6"/>
    <cellStyle name="桁区切り 2" xfId="3" xr:uid="{BB01840E-B1F2-4E8D-BEEB-B362F518DFA6}"/>
    <cellStyle name="標準" xfId="0" builtinId="0"/>
    <cellStyle name="標準 2" xfId="2" xr:uid="{7B0D12BE-500C-48EE-A948-903F982FFEF8}"/>
  </cellStyles>
  <dxfs count="19"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01911-40D" refreshedDate="45168.348050000001" createdVersion="8" refreshedVersion="8" minRefreshableVersion="3" recordCount="34" xr:uid="{0E79791C-C124-4E7E-89C4-EB384E2408F8}">
  <cacheSource type="worksheet">
    <worksheetSource ref="A1:N68" sheet="202404"/>
  </cacheSource>
  <cacheFields count="18">
    <cacheField name="工番" numFmtId="0">
      <sharedItems containsNonDate="0" containsString="0" containsBlank="1"/>
    </cacheField>
    <cacheField name="支払日" numFmtId="0">
      <sharedItems containsNonDate="0" containsString="0" containsBlank="1"/>
    </cacheField>
    <cacheField name="勘定科目" numFmtId="0">
      <sharedItems containsNonDate="0" containsString="0" containsBlank="1" count="1">
        <m/>
      </sharedItems>
    </cacheField>
    <cacheField name="摘要" numFmtId="0">
      <sharedItems containsBlank="1"/>
    </cacheField>
    <cacheField name="E" numFmtId="0">
      <sharedItems containsNonDate="0" containsString="0" containsBlank="1"/>
    </cacheField>
    <cacheField name="収入" numFmtId="177">
      <sharedItems containsNonDate="0" containsString="0" containsBlank="1"/>
    </cacheField>
    <cacheField name="支出" numFmtId="177">
      <sharedItems containsNonDate="0" containsString="0" containsBlank="1" count="1">
        <m/>
      </sharedItems>
    </cacheField>
    <cacheField name="a" numFmtId="0">
      <sharedItems containsNonDate="0" containsString="0" containsBlank="1"/>
    </cacheField>
    <cacheField name="インボイス" numFmtId="0">
      <sharedItems containsNonDate="0" containsString="0" containsBlank="1"/>
    </cacheField>
    <cacheField name="b" numFmtId="0">
      <sharedItems containsNonDate="0" containsString="0" containsBlank="1"/>
    </cacheField>
    <cacheField name="10％税込額" numFmtId="177">
      <sharedItems containsNonDate="0" containsString="0" containsBlank="1" count="1">
        <m/>
      </sharedItems>
    </cacheField>
    <cacheField name="8％税込額" numFmtId="177">
      <sharedItems containsNonDate="0" containsString="0" containsBlank="1" count="1">
        <m/>
      </sharedItems>
    </cacheField>
    <cacheField name="非課税額" numFmtId="177">
      <sharedItems containsNonDate="0" containsString="0" containsBlank="1" count="1">
        <m/>
      </sharedItems>
    </cacheField>
    <cacheField name="税込合計" numFmtId="0">
      <sharedItems containsBlank="1" count="2">
        <m/>
        <s v=""/>
      </sharedItems>
    </cacheField>
    <cacheField name="c" numFmtId="0">
      <sharedItems containsNonDate="0" containsString="0" containsBlank="1"/>
    </cacheField>
    <cacheField name="消費税10" numFmtId="0">
      <sharedItems containsString="0" containsBlank="1" containsNumber="1" containsInteger="1" minValue="0" maxValue="0"/>
    </cacheField>
    <cacheField name="消費税8" numFmtId="0">
      <sharedItems containsString="0" containsBlank="1" containsNumber="1" containsInteger="1" minValue="0" maxValue="0"/>
    </cacheField>
    <cacheField name="消費税計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m/>
    <m/>
    <x v="0"/>
    <s v="経費仮払金がある場合入力⇒"/>
    <m/>
    <m/>
    <x v="0"/>
    <m/>
    <m/>
    <m/>
    <x v="0"/>
    <x v="0"/>
    <x v="0"/>
    <x v="0"/>
    <m/>
    <m/>
    <m/>
    <m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  <r>
    <m/>
    <m/>
    <x v="0"/>
    <m/>
    <m/>
    <m/>
    <x v="0"/>
    <m/>
    <m/>
    <m/>
    <x v="0"/>
    <x v="0"/>
    <x v="0"/>
    <x v="1"/>
    <m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45F84-5D47-41AA-B12F-D135159CFB97}" name="ピボットテーブル1" cacheId="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A11" firstHeaderRow="1" firstDataRow="1" firstDataCol="1"/>
  <pivotFields count="18"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6">
    <field x="2"/>
    <field x="6"/>
    <field x="10"/>
    <field x="11"/>
    <field x="12"/>
    <field x="13"/>
  </rowFields>
  <rowItems count="8">
    <i>
      <x/>
    </i>
    <i r="1">
      <x/>
    </i>
    <i r="2">
      <x/>
    </i>
    <i r="3">
      <x/>
    </i>
    <i r="4">
      <x/>
    </i>
    <i r="5">
      <x/>
    </i>
    <i r="5"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7B8E-88EF-4CB5-9374-0AEBD5F6DD38}">
  <sheetPr>
    <tabColor rgb="FFFF0000"/>
  </sheetPr>
  <dimension ref="A1:O72"/>
  <sheetViews>
    <sheetView topLeftCell="A22" zoomScaleNormal="100" workbookViewId="0">
      <selection activeCell="A2" sqref="A2"/>
    </sheetView>
  </sheetViews>
  <sheetFormatPr defaultRowHeight="18.75" outlineLevelCol="1" x14ac:dyDescent="0.4"/>
  <cols>
    <col min="1" max="1" width="6" customWidth="1"/>
    <col min="2" max="2" width="8.875" customWidth="1"/>
    <col min="3" max="3" width="10.5" customWidth="1"/>
    <col min="4" max="4" width="35.125" customWidth="1"/>
    <col min="5" max="5" width="5.5" customWidth="1"/>
    <col min="6" max="7" width="10.625" customWidth="1"/>
    <col min="8" max="8" width="1.5" customWidth="1" outlineLevel="1"/>
    <col min="9" max="9" width="7.25" customWidth="1" outlineLevel="1"/>
    <col min="10" max="10" width="0.875" customWidth="1" outlineLevel="1"/>
    <col min="11" max="13" width="9.25" customWidth="1" outlineLevel="1"/>
    <col min="14" max="14" width="10.25" customWidth="1" outlineLevel="1"/>
    <col min="15" max="15" width="9" customWidth="1" outlineLevel="1"/>
    <col min="16" max="16" width="11.625" bestFit="1" customWidth="1"/>
    <col min="17" max="17" width="15.875" bestFit="1" customWidth="1"/>
    <col min="18" max="18" width="14.625" bestFit="1" customWidth="1"/>
    <col min="19" max="19" width="15.5" bestFit="1" customWidth="1"/>
    <col min="20" max="20" width="11.375" bestFit="1" customWidth="1"/>
  </cols>
  <sheetData>
    <row r="1" spans="1:14" x14ac:dyDescent="0.4">
      <c r="A1" s="12" t="s">
        <v>20</v>
      </c>
      <c r="B1" s="13" t="s">
        <v>7</v>
      </c>
      <c r="C1" s="13" t="s">
        <v>5</v>
      </c>
      <c r="D1" s="42" t="s">
        <v>6</v>
      </c>
      <c r="E1" s="51" t="s">
        <v>16</v>
      </c>
      <c r="F1" s="14" t="s">
        <v>0</v>
      </c>
      <c r="G1" s="13" t="s">
        <v>1</v>
      </c>
      <c r="H1" s="37" t="s">
        <v>11</v>
      </c>
      <c r="I1" s="15" t="s">
        <v>3</v>
      </c>
      <c r="J1" s="38" t="s">
        <v>12</v>
      </c>
      <c r="K1" s="16" t="s">
        <v>8</v>
      </c>
      <c r="L1" s="17" t="s">
        <v>9</v>
      </c>
      <c r="M1" s="18" t="s">
        <v>2</v>
      </c>
      <c r="N1" s="19" t="s">
        <v>10</v>
      </c>
    </row>
    <row r="2" spans="1:14" x14ac:dyDescent="0.4">
      <c r="A2" s="3"/>
      <c r="B2" s="4"/>
      <c r="C2" s="5"/>
      <c r="D2" s="95"/>
      <c r="E2" s="96"/>
      <c r="F2" s="20"/>
      <c r="G2" s="21"/>
      <c r="H2" s="1"/>
      <c r="I2" s="9"/>
      <c r="J2" s="11"/>
      <c r="K2" s="25"/>
      <c r="L2" s="21"/>
      <c r="M2" s="26"/>
      <c r="N2" s="27" t="str">
        <f t="shared" ref="N2:N65" si="0">IF(K2+L2+M2=0,"",K2+L2+M2)</f>
        <v/>
      </c>
    </row>
    <row r="3" spans="1:14" x14ac:dyDescent="0.4">
      <c r="A3" s="3"/>
      <c r="B3" s="4"/>
      <c r="C3" s="5"/>
      <c r="D3" s="95"/>
      <c r="E3" s="96"/>
      <c r="F3" s="22"/>
      <c r="G3" s="22"/>
      <c r="I3" s="9"/>
      <c r="J3" s="11"/>
      <c r="K3" s="25"/>
      <c r="L3" s="21"/>
      <c r="M3" s="26"/>
      <c r="N3" s="27" t="str">
        <f t="shared" si="0"/>
        <v/>
      </c>
    </row>
    <row r="4" spans="1:14" x14ac:dyDescent="0.4">
      <c r="A4" s="54"/>
      <c r="B4" s="55"/>
      <c r="C4" s="56"/>
      <c r="D4" s="93"/>
      <c r="E4" s="94"/>
      <c r="F4" s="57"/>
      <c r="G4" s="57"/>
      <c r="H4" s="58"/>
      <c r="I4" s="59"/>
      <c r="J4" s="60"/>
      <c r="K4" s="61"/>
      <c r="L4" s="62"/>
      <c r="M4" s="63"/>
      <c r="N4" s="64" t="str">
        <f t="shared" si="0"/>
        <v/>
      </c>
    </row>
    <row r="5" spans="1:14" x14ac:dyDescent="0.4">
      <c r="A5" s="54"/>
      <c r="B5" s="55"/>
      <c r="C5" s="56"/>
      <c r="D5" s="93"/>
      <c r="E5" s="94"/>
      <c r="F5" s="57"/>
      <c r="G5" s="57"/>
      <c r="H5" s="65"/>
      <c r="I5" s="59"/>
      <c r="J5" s="60"/>
      <c r="K5" s="61"/>
      <c r="L5" s="62"/>
      <c r="M5" s="63"/>
      <c r="N5" s="64" t="str">
        <f>IF(K5+L5+M5=0,"",K5+L5+M5)</f>
        <v/>
      </c>
    </row>
    <row r="6" spans="1:14" x14ac:dyDescent="0.4">
      <c r="A6" s="54"/>
      <c r="B6" s="55"/>
      <c r="C6" s="56"/>
      <c r="D6" s="93"/>
      <c r="E6" s="94"/>
      <c r="F6" s="57"/>
      <c r="G6" s="57"/>
      <c r="H6" s="65"/>
      <c r="I6" s="59"/>
      <c r="J6" s="60"/>
      <c r="K6" s="61"/>
      <c r="L6" s="62"/>
      <c r="M6" s="63"/>
      <c r="N6" s="64" t="str">
        <f>IF(K6+L6+M6=0,"",K6+L6+M6)</f>
        <v/>
      </c>
    </row>
    <row r="7" spans="1:14" x14ac:dyDescent="0.4">
      <c r="A7" s="54"/>
      <c r="B7" s="55"/>
      <c r="C7" s="56"/>
      <c r="D7" s="93"/>
      <c r="E7" s="94"/>
      <c r="F7" s="57"/>
      <c r="G7" s="57"/>
      <c r="H7" s="65"/>
      <c r="I7" s="59"/>
      <c r="J7" s="60"/>
      <c r="K7" s="61"/>
      <c r="L7" s="62"/>
      <c r="M7" s="63"/>
      <c r="N7" s="64" t="str">
        <f t="shared" si="0"/>
        <v/>
      </c>
    </row>
    <row r="8" spans="1:14" x14ac:dyDescent="0.4">
      <c r="A8" s="54"/>
      <c r="B8" s="55"/>
      <c r="C8" s="56"/>
      <c r="D8" s="93"/>
      <c r="E8" s="94"/>
      <c r="F8" s="66"/>
      <c r="G8" s="67"/>
      <c r="H8" s="65"/>
      <c r="I8" s="59"/>
      <c r="J8" s="60"/>
      <c r="K8" s="61"/>
      <c r="L8" s="62"/>
      <c r="M8" s="63"/>
      <c r="N8" s="64" t="str">
        <f>IF(K8+L8+M8=0,"",K8+L8+M8)</f>
        <v/>
      </c>
    </row>
    <row r="9" spans="1:14" x14ac:dyDescent="0.4">
      <c r="A9" s="54"/>
      <c r="B9" s="55"/>
      <c r="C9" s="56"/>
      <c r="D9" s="93"/>
      <c r="E9" s="94"/>
      <c r="F9" s="57"/>
      <c r="G9" s="57"/>
      <c r="H9" s="65"/>
      <c r="I9" s="59"/>
      <c r="J9" s="60"/>
      <c r="K9" s="61"/>
      <c r="L9" s="62"/>
      <c r="M9" s="63"/>
      <c r="N9" s="64" t="str">
        <f t="shared" si="0"/>
        <v/>
      </c>
    </row>
    <row r="10" spans="1:14" x14ac:dyDescent="0.4">
      <c r="A10" s="54"/>
      <c r="B10" s="55"/>
      <c r="C10" s="56"/>
      <c r="D10" s="93"/>
      <c r="E10" s="94"/>
      <c r="F10" s="57"/>
      <c r="G10" s="57"/>
      <c r="H10" s="65"/>
      <c r="I10" s="59"/>
      <c r="J10" s="60"/>
      <c r="K10" s="61"/>
      <c r="L10" s="62"/>
      <c r="M10" s="63"/>
      <c r="N10" s="64" t="str">
        <f t="shared" si="0"/>
        <v/>
      </c>
    </row>
    <row r="11" spans="1:14" x14ac:dyDescent="0.4">
      <c r="A11" s="54"/>
      <c r="B11" s="55"/>
      <c r="C11" s="56"/>
      <c r="D11" s="93"/>
      <c r="E11" s="94"/>
      <c r="F11" s="57"/>
      <c r="G11" s="57"/>
      <c r="H11" s="65"/>
      <c r="I11" s="59"/>
      <c r="J11" s="60"/>
      <c r="K11" s="61"/>
      <c r="L11" s="62"/>
      <c r="M11" s="63"/>
      <c r="N11" s="64" t="str">
        <f t="shared" si="0"/>
        <v/>
      </c>
    </row>
    <row r="12" spans="1:14" x14ac:dyDescent="0.4">
      <c r="A12" s="54"/>
      <c r="B12" s="55"/>
      <c r="C12" s="56"/>
      <c r="D12" s="93"/>
      <c r="E12" s="94"/>
      <c r="F12" s="57"/>
      <c r="G12" s="57"/>
      <c r="H12" s="65"/>
      <c r="I12" s="59"/>
      <c r="J12" s="60"/>
      <c r="K12" s="61"/>
      <c r="L12" s="62"/>
      <c r="M12" s="63"/>
      <c r="N12" s="64" t="str">
        <f t="shared" si="0"/>
        <v/>
      </c>
    </row>
    <row r="13" spans="1:14" x14ac:dyDescent="0.4">
      <c r="A13" s="54"/>
      <c r="B13" s="55"/>
      <c r="C13" s="56"/>
      <c r="D13" s="93"/>
      <c r="E13" s="94"/>
      <c r="F13" s="57"/>
      <c r="G13" s="57"/>
      <c r="H13" s="65"/>
      <c r="I13" s="59"/>
      <c r="J13" s="60"/>
      <c r="K13" s="61"/>
      <c r="L13" s="62"/>
      <c r="M13" s="63"/>
      <c r="N13" s="64" t="str">
        <f>IF(K13+L13+M13=0,"",K13+L13+M13)</f>
        <v/>
      </c>
    </row>
    <row r="14" spans="1:14" x14ac:dyDescent="0.4">
      <c r="A14" s="54"/>
      <c r="B14" s="55"/>
      <c r="C14" s="56"/>
      <c r="D14" s="93"/>
      <c r="E14" s="94"/>
      <c r="F14" s="57"/>
      <c r="G14" s="57"/>
      <c r="H14" s="65"/>
      <c r="I14" s="59"/>
      <c r="J14" s="60"/>
      <c r="K14" s="61"/>
      <c r="L14" s="62"/>
      <c r="M14" s="63"/>
      <c r="N14" s="64" t="str">
        <f t="shared" si="0"/>
        <v/>
      </c>
    </row>
    <row r="15" spans="1:14" x14ac:dyDescent="0.4">
      <c r="A15" s="54"/>
      <c r="B15" s="55"/>
      <c r="C15" s="56"/>
      <c r="D15" s="93"/>
      <c r="E15" s="94"/>
      <c r="F15" s="57"/>
      <c r="G15" s="57"/>
      <c r="H15" s="65"/>
      <c r="I15" s="59"/>
      <c r="J15" s="60"/>
      <c r="K15" s="61"/>
      <c r="L15" s="62"/>
      <c r="M15" s="68"/>
      <c r="N15" s="64" t="str">
        <f t="shared" si="0"/>
        <v/>
      </c>
    </row>
    <row r="16" spans="1:14" x14ac:dyDescent="0.4">
      <c r="A16" s="54"/>
      <c r="B16" s="55"/>
      <c r="C16" s="56"/>
      <c r="D16" s="93"/>
      <c r="E16" s="94"/>
      <c r="F16" s="57"/>
      <c r="G16" s="57"/>
      <c r="H16" s="65"/>
      <c r="I16" s="59"/>
      <c r="J16" s="60"/>
      <c r="K16" s="61"/>
      <c r="L16" s="62"/>
      <c r="M16" s="63"/>
      <c r="N16" s="64" t="str">
        <f t="shared" si="0"/>
        <v/>
      </c>
    </row>
    <row r="17" spans="1:14" x14ac:dyDescent="0.4">
      <c r="A17" s="54"/>
      <c r="B17" s="55"/>
      <c r="C17" s="56"/>
      <c r="D17" s="93"/>
      <c r="E17" s="94"/>
      <c r="F17" s="57"/>
      <c r="G17" s="57"/>
      <c r="H17" s="65"/>
      <c r="I17" s="59"/>
      <c r="J17" s="60"/>
      <c r="K17" s="61"/>
      <c r="L17" s="62"/>
      <c r="M17" s="63"/>
      <c r="N17" s="64" t="str">
        <f t="shared" si="0"/>
        <v/>
      </c>
    </row>
    <row r="18" spans="1:14" x14ac:dyDescent="0.4">
      <c r="A18" s="54"/>
      <c r="B18" s="55"/>
      <c r="C18" s="56"/>
      <c r="D18" s="93"/>
      <c r="E18" s="94"/>
      <c r="F18" s="57"/>
      <c r="G18" s="57"/>
      <c r="H18" s="65"/>
      <c r="I18" s="59"/>
      <c r="J18" s="60"/>
      <c r="K18" s="61"/>
      <c r="L18" s="62"/>
      <c r="M18" s="63"/>
      <c r="N18" s="64" t="str">
        <f t="shared" si="0"/>
        <v/>
      </c>
    </row>
    <row r="19" spans="1:14" x14ac:dyDescent="0.4">
      <c r="A19" s="54"/>
      <c r="B19" s="55"/>
      <c r="C19" s="56"/>
      <c r="D19" s="93"/>
      <c r="E19" s="94"/>
      <c r="F19" s="57"/>
      <c r="G19" s="57"/>
      <c r="H19" s="65"/>
      <c r="I19" s="59"/>
      <c r="J19" s="60"/>
      <c r="K19" s="61"/>
      <c r="L19" s="62"/>
      <c r="M19" s="63"/>
      <c r="N19" s="64" t="str">
        <f t="shared" si="0"/>
        <v/>
      </c>
    </row>
    <row r="20" spans="1:14" x14ac:dyDescent="0.4">
      <c r="A20" s="54"/>
      <c r="B20" s="55"/>
      <c r="C20" s="56"/>
      <c r="D20" s="93"/>
      <c r="E20" s="94"/>
      <c r="F20" s="57"/>
      <c r="G20" s="57"/>
      <c r="H20" s="65"/>
      <c r="I20" s="59"/>
      <c r="J20" s="60"/>
      <c r="K20" s="61"/>
      <c r="L20" s="62"/>
      <c r="M20" s="63"/>
      <c r="N20" s="64" t="str">
        <f t="shared" si="0"/>
        <v/>
      </c>
    </row>
    <row r="21" spans="1:14" x14ac:dyDescent="0.4">
      <c r="A21" s="54"/>
      <c r="B21" s="55"/>
      <c r="C21" s="56"/>
      <c r="D21" s="93"/>
      <c r="E21" s="94"/>
      <c r="F21" s="57"/>
      <c r="G21" s="57"/>
      <c r="H21" s="65"/>
      <c r="I21" s="59"/>
      <c r="J21" s="60"/>
      <c r="K21" s="61"/>
      <c r="L21" s="62"/>
      <c r="M21" s="63"/>
      <c r="N21" s="64" t="str">
        <f t="shared" si="0"/>
        <v/>
      </c>
    </row>
    <row r="22" spans="1:14" x14ac:dyDescent="0.4">
      <c r="A22" s="54"/>
      <c r="B22" s="55"/>
      <c r="C22" s="56"/>
      <c r="D22" s="93"/>
      <c r="E22" s="94"/>
      <c r="F22" s="57"/>
      <c r="G22" s="57"/>
      <c r="H22" s="65"/>
      <c r="I22" s="59"/>
      <c r="J22" s="60"/>
      <c r="K22" s="61"/>
      <c r="L22" s="62"/>
      <c r="M22" s="63"/>
      <c r="N22" s="64" t="str">
        <f t="shared" si="0"/>
        <v/>
      </c>
    </row>
    <row r="23" spans="1:14" x14ac:dyDescent="0.4">
      <c r="A23" s="54"/>
      <c r="B23" s="55"/>
      <c r="C23" s="56"/>
      <c r="D23" s="93"/>
      <c r="E23" s="94"/>
      <c r="F23" s="57"/>
      <c r="G23" s="57"/>
      <c r="H23" s="65"/>
      <c r="I23" s="59"/>
      <c r="J23" s="60"/>
      <c r="K23" s="61"/>
      <c r="L23" s="62"/>
      <c r="M23" s="63"/>
      <c r="N23" s="64" t="str">
        <f t="shared" si="0"/>
        <v/>
      </c>
    </row>
    <row r="24" spans="1:14" x14ac:dyDescent="0.4">
      <c r="A24" s="54"/>
      <c r="B24" s="55"/>
      <c r="C24" s="56"/>
      <c r="D24" s="93"/>
      <c r="E24" s="94"/>
      <c r="F24" s="57"/>
      <c r="G24" s="57"/>
      <c r="H24" s="65"/>
      <c r="I24" s="59"/>
      <c r="J24" s="60"/>
      <c r="K24" s="61"/>
      <c r="L24" s="62"/>
      <c r="M24" s="63"/>
      <c r="N24" s="64" t="str">
        <f t="shared" si="0"/>
        <v/>
      </c>
    </row>
    <row r="25" spans="1:14" x14ac:dyDescent="0.4">
      <c r="A25" s="54"/>
      <c r="B25" s="55"/>
      <c r="C25" s="56"/>
      <c r="D25" s="93"/>
      <c r="E25" s="94"/>
      <c r="F25" s="57"/>
      <c r="G25" s="57"/>
      <c r="H25" s="65"/>
      <c r="I25" s="59"/>
      <c r="J25" s="60"/>
      <c r="K25" s="61"/>
      <c r="L25" s="62"/>
      <c r="M25" s="63"/>
      <c r="N25" s="64" t="str">
        <f t="shared" si="0"/>
        <v/>
      </c>
    </row>
    <row r="26" spans="1:14" x14ac:dyDescent="0.4">
      <c r="A26" s="54"/>
      <c r="B26" s="55"/>
      <c r="C26" s="56"/>
      <c r="D26" s="93"/>
      <c r="E26" s="97"/>
      <c r="F26" s="57"/>
      <c r="G26" s="57"/>
      <c r="H26" s="65"/>
      <c r="I26" s="59"/>
      <c r="J26" s="60"/>
      <c r="K26" s="61"/>
      <c r="L26" s="62"/>
      <c r="M26" s="63"/>
      <c r="N26" s="64" t="str">
        <f t="shared" si="0"/>
        <v/>
      </c>
    </row>
    <row r="27" spans="1:14" x14ac:dyDescent="0.4">
      <c r="A27" s="54"/>
      <c r="B27" s="55"/>
      <c r="C27" s="56"/>
      <c r="D27" s="93"/>
      <c r="E27" s="94"/>
      <c r="F27" s="57"/>
      <c r="G27" s="57"/>
      <c r="H27" s="65"/>
      <c r="I27" s="59"/>
      <c r="J27" s="60"/>
      <c r="K27" s="61"/>
      <c r="L27" s="62"/>
      <c r="M27" s="63"/>
      <c r="N27" s="64" t="str">
        <f t="shared" si="0"/>
        <v/>
      </c>
    </row>
    <row r="28" spans="1:14" x14ac:dyDescent="0.4">
      <c r="A28" s="54"/>
      <c r="B28" s="55"/>
      <c r="C28" s="56"/>
      <c r="D28" s="93"/>
      <c r="E28" s="97"/>
      <c r="F28" s="57"/>
      <c r="G28" s="57"/>
      <c r="H28" s="65"/>
      <c r="I28" s="59"/>
      <c r="J28" s="60"/>
      <c r="K28" s="61"/>
      <c r="L28" s="62"/>
      <c r="M28" s="63"/>
      <c r="N28" s="64" t="str">
        <f t="shared" si="0"/>
        <v/>
      </c>
    </row>
    <row r="29" spans="1:14" x14ac:dyDescent="0.4">
      <c r="A29" s="3"/>
      <c r="B29" s="4"/>
      <c r="C29" s="5"/>
      <c r="D29" s="95"/>
      <c r="E29" s="96"/>
      <c r="F29" s="20"/>
      <c r="G29" s="21"/>
      <c r="H29" s="1"/>
      <c r="I29" s="9"/>
      <c r="J29" s="11"/>
      <c r="K29" s="25"/>
      <c r="L29" s="21"/>
      <c r="M29" s="26"/>
      <c r="N29" s="27" t="str">
        <f t="shared" si="0"/>
        <v/>
      </c>
    </row>
    <row r="30" spans="1:14" x14ac:dyDescent="0.4">
      <c r="A30" s="3"/>
      <c r="B30" s="4"/>
      <c r="C30" s="5"/>
      <c r="D30" s="95"/>
      <c r="E30" s="96"/>
      <c r="F30" s="22"/>
      <c r="G30" s="22"/>
      <c r="I30" s="9"/>
      <c r="J30" s="11"/>
      <c r="K30" s="25"/>
      <c r="L30" s="21"/>
      <c r="M30" s="26"/>
      <c r="N30" s="27" t="str">
        <f t="shared" si="0"/>
        <v/>
      </c>
    </row>
    <row r="31" spans="1:14" x14ac:dyDescent="0.4">
      <c r="A31" s="3"/>
      <c r="B31" s="4"/>
      <c r="C31" s="5"/>
      <c r="D31" s="95"/>
      <c r="E31" s="96"/>
      <c r="F31" s="22"/>
      <c r="G31" s="22"/>
      <c r="I31" s="9"/>
      <c r="J31" s="11"/>
      <c r="K31" s="25"/>
      <c r="L31" s="21"/>
      <c r="M31" s="26"/>
      <c r="N31" s="27" t="str">
        <f t="shared" si="0"/>
        <v/>
      </c>
    </row>
    <row r="32" spans="1:14" x14ac:dyDescent="0.4">
      <c r="A32" s="3"/>
      <c r="B32" s="4"/>
      <c r="C32" s="5"/>
      <c r="D32" s="95"/>
      <c r="E32" s="96"/>
      <c r="F32" s="22"/>
      <c r="G32" s="22"/>
      <c r="I32" s="9"/>
      <c r="J32" s="11"/>
      <c r="K32" s="25"/>
      <c r="L32" s="21"/>
      <c r="M32" s="26"/>
      <c r="N32" s="27" t="str">
        <f t="shared" si="0"/>
        <v/>
      </c>
    </row>
    <row r="33" spans="1:14" x14ac:dyDescent="0.4">
      <c r="A33" s="3"/>
      <c r="B33" s="4"/>
      <c r="C33" s="5"/>
      <c r="D33" s="95"/>
      <c r="E33" s="96"/>
      <c r="F33" s="22"/>
      <c r="G33" s="22"/>
      <c r="I33" s="9"/>
      <c r="J33" s="11"/>
      <c r="K33" s="25"/>
      <c r="L33" s="21"/>
      <c r="M33" s="26"/>
      <c r="N33" s="27" t="str">
        <f t="shared" si="0"/>
        <v/>
      </c>
    </row>
    <row r="34" spans="1:14" x14ac:dyDescent="0.4">
      <c r="A34" s="3"/>
      <c r="B34" s="4"/>
      <c r="C34" s="5"/>
      <c r="D34" s="95"/>
      <c r="E34" s="96"/>
      <c r="F34" s="22"/>
      <c r="G34" s="22"/>
      <c r="I34" s="9"/>
      <c r="J34" s="11"/>
      <c r="K34" s="25"/>
      <c r="L34" s="21"/>
      <c r="M34" s="26"/>
      <c r="N34" s="27" t="str">
        <f t="shared" si="0"/>
        <v/>
      </c>
    </row>
    <row r="35" spans="1:14" x14ac:dyDescent="0.4">
      <c r="A35" s="3"/>
      <c r="B35" s="4"/>
      <c r="C35" s="5"/>
      <c r="D35" s="95"/>
      <c r="E35" s="96"/>
      <c r="F35" s="20"/>
      <c r="G35" s="21"/>
      <c r="H35" s="1"/>
      <c r="I35" s="9"/>
      <c r="J35" s="11"/>
      <c r="K35" s="25"/>
      <c r="L35" s="21"/>
      <c r="M35" s="26"/>
      <c r="N35" s="27" t="str">
        <f t="shared" si="0"/>
        <v/>
      </c>
    </row>
    <row r="36" spans="1:14" x14ac:dyDescent="0.4">
      <c r="A36" s="3"/>
      <c r="B36" s="4"/>
      <c r="C36" s="5"/>
      <c r="D36" s="95"/>
      <c r="E36" s="96"/>
      <c r="F36" s="22"/>
      <c r="G36" s="22"/>
      <c r="I36" s="9"/>
      <c r="J36" s="11"/>
      <c r="K36" s="25"/>
      <c r="L36" s="21"/>
      <c r="M36" s="26"/>
      <c r="N36" s="27" t="str">
        <f t="shared" si="0"/>
        <v/>
      </c>
    </row>
    <row r="37" spans="1:14" x14ac:dyDescent="0.4">
      <c r="A37" s="3"/>
      <c r="B37" s="4"/>
      <c r="C37" s="5"/>
      <c r="D37" s="95"/>
      <c r="E37" s="96"/>
      <c r="F37" s="22"/>
      <c r="G37" s="22"/>
      <c r="I37" s="9"/>
      <c r="J37" s="11"/>
      <c r="K37" s="25"/>
      <c r="L37" s="21"/>
      <c r="M37" s="26"/>
      <c r="N37" s="27" t="str">
        <f t="shared" si="0"/>
        <v/>
      </c>
    </row>
    <row r="38" spans="1:14" x14ac:dyDescent="0.4">
      <c r="A38" s="3"/>
      <c r="B38" s="4"/>
      <c r="C38" s="5"/>
      <c r="D38" s="95"/>
      <c r="E38" s="96"/>
      <c r="F38" s="22"/>
      <c r="G38" s="22"/>
      <c r="I38" s="9"/>
      <c r="J38" s="11"/>
      <c r="K38" s="25"/>
      <c r="L38" s="21"/>
      <c r="M38" s="26"/>
      <c r="N38" s="27" t="str">
        <f t="shared" si="0"/>
        <v/>
      </c>
    </row>
    <row r="39" spans="1:14" x14ac:dyDescent="0.4">
      <c r="A39" s="3"/>
      <c r="B39" s="4"/>
      <c r="C39" s="5"/>
      <c r="D39" s="95"/>
      <c r="E39" s="96"/>
      <c r="F39" s="22"/>
      <c r="G39" s="22"/>
      <c r="I39" s="9"/>
      <c r="J39" s="11"/>
      <c r="K39" s="25"/>
      <c r="L39" s="21"/>
      <c r="M39" s="26"/>
      <c r="N39" s="27" t="str">
        <f t="shared" si="0"/>
        <v/>
      </c>
    </row>
    <row r="40" spans="1:14" x14ac:dyDescent="0.4">
      <c r="A40" s="3"/>
      <c r="B40" s="4"/>
      <c r="C40" s="5"/>
      <c r="D40" s="95"/>
      <c r="E40" s="96"/>
      <c r="F40" s="22"/>
      <c r="G40" s="22"/>
      <c r="I40" s="9"/>
      <c r="J40" s="11"/>
      <c r="K40" s="25"/>
      <c r="L40" s="21"/>
      <c r="M40" s="26"/>
      <c r="N40" s="27" t="str">
        <f t="shared" si="0"/>
        <v/>
      </c>
    </row>
    <row r="41" spans="1:14" x14ac:dyDescent="0.4">
      <c r="A41" s="3"/>
      <c r="B41" s="4"/>
      <c r="C41" s="5"/>
      <c r="D41" s="95"/>
      <c r="E41" s="96"/>
      <c r="F41" s="22"/>
      <c r="G41" s="22"/>
      <c r="I41" s="9"/>
      <c r="J41" s="11"/>
      <c r="K41" s="25"/>
      <c r="L41" s="21"/>
      <c r="M41" s="26"/>
      <c r="N41" s="27" t="str">
        <f t="shared" si="0"/>
        <v/>
      </c>
    </row>
    <row r="42" spans="1:14" x14ac:dyDescent="0.4">
      <c r="A42" s="3"/>
      <c r="B42" s="4"/>
      <c r="C42" s="5"/>
      <c r="D42" s="95"/>
      <c r="E42" s="96"/>
      <c r="F42" s="22"/>
      <c r="G42" s="22"/>
      <c r="I42" s="9"/>
      <c r="J42" s="11"/>
      <c r="K42" s="25"/>
      <c r="L42" s="21"/>
      <c r="M42" s="26"/>
      <c r="N42" s="27" t="str">
        <f t="shared" si="0"/>
        <v/>
      </c>
    </row>
    <row r="43" spans="1:14" x14ac:dyDescent="0.4">
      <c r="A43" s="3"/>
      <c r="B43" s="4"/>
      <c r="C43" s="5"/>
      <c r="D43" s="95"/>
      <c r="E43" s="96"/>
      <c r="F43" s="22"/>
      <c r="G43" s="22"/>
      <c r="I43" s="9"/>
      <c r="J43" s="11"/>
      <c r="K43" s="25"/>
      <c r="L43" s="21"/>
      <c r="M43" s="26"/>
      <c r="N43" s="27" t="str">
        <f t="shared" si="0"/>
        <v/>
      </c>
    </row>
    <row r="44" spans="1:14" x14ac:dyDescent="0.4">
      <c r="A44" s="3"/>
      <c r="B44" s="4"/>
      <c r="C44" s="5"/>
      <c r="D44" s="95"/>
      <c r="E44" s="96"/>
      <c r="F44" s="22"/>
      <c r="G44" s="22"/>
      <c r="I44" s="9"/>
      <c r="J44" s="11"/>
      <c r="K44" s="25"/>
      <c r="L44" s="21"/>
      <c r="M44" s="26"/>
      <c r="N44" s="27" t="str">
        <f t="shared" si="0"/>
        <v/>
      </c>
    </row>
    <row r="45" spans="1:14" x14ac:dyDescent="0.4">
      <c r="A45" s="3"/>
      <c r="B45" s="4"/>
      <c r="C45" s="5"/>
      <c r="D45" s="95"/>
      <c r="E45" s="96"/>
      <c r="F45" s="22"/>
      <c r="G45" s="22"/>
      <c r="I45" s="9"/>
      <c r="J45" s="11"/>
      <c r="K45" s="25"/>
      <c r="L45" s="21"/>
      <c r="M45" s="29"/>
      <c r="N45" s="27" t="str">
        <f t="shared" si="0"/>
        <v/>
      </c>
    </row>
    <row r="46" spans="1:14" x14ac:dyDescent="0.4">
      <c r="A46" s="3"/>
      <c r="B46" s="4"/>
      <c r="C46" s="5"/>
      <c r="D46" s="95"/>
      <c r="E46" s="96"/>
      <c r="F46" s="22"/>
      <c r="G46" s="22"/>
      <c r="I46" s="9"/>
      <c r="J46" s="11"/>
      <c r="K46" s="25"/>
      <c r="L46" s="21"/>
      <c r="M46" s="26"/>
      <c r="N46" s="27" t="str">
        <f t="shared" si="0"/>
        <v/>
      </c>
    </row>
    <row r="47" spans="1:14" x14ac:dyDescent="0.4">
      <c r="A47" s="3"/>
      <c r="B47" s="4"/>
      <c r="C47" s="5"/>
      <c r="D47" s="95"/>
      <c r="E47" s="96"/>
      <c r="F47" s="22"/>
      <c r="G47" s="22"/>
      <c r="I47" s="9"/>
      <c r="J47" s="11"/>
      <c r="K47" s="25"/>
      <c r="L47" s="21"/>
      <c r="M47" s="26"/>
      <c r="N47" s="27" t="str">
        <f t="shared" si="0"/>
        <v/>
      </c>
    </row>
    <row r="48" spans="1:14" x14ac:dyDescent="0.4">
      <c r="A48" s="3"/>
      <c r="B48" s="4"/>
      <c r="C48" s="5"/>
      <c r="D48" s="95"/>
      <c r="E48" s="96"/>
      <c r="F48" s="22"/>
      <c r="G48" s="22"/>
      <c r="I48" s="9"/>
      <c r="J48" s="11"/>
      <c r="K48" s="25"/>
      <c r="L48" s="21"/>
      <c r="M48" s="26"/>
      <c r="N48" s="27" t="str">
        <f t="shared" si="0"/>
        <v/>
      </c>
    </row>
    <row r="49" spans="1:14" x14ac:dyDescent="0.4">
      <c r="A49" s="3"/>
      <c r="B49" s="4"/>
      <c r="C49" s="5"/>
      <c r="D49" s="95"/>
      <c r="E49" s="96"/>
      <c r="F49" s="22"/>
      <c r="G49" s="22"/>
      <c r="I49" s="9"/>
      <c r="J49" s="11"/>
      <c r="K49" s="25"/>
      <c r="L49" s="21"/>
      <c r="M49" s="26"/>
      <c r="N49" s="27" t="str">
        <f t="shared" si="0"/>
        <v/>
      </c>
    </row>
    <row r="50" spans="1:14" x14ac:dyDescent="0.4">
      <c r="A50" s="3"/>
      <c r="B50" s="4"/>
      <c r="C50" s="5"/>
      <c r="D50" s="95"/>
      <c r="E50" s="96"/>
      <c r="F50" s="22"/>
      <c r="G50" s="22"/>
      <c r="I50" s="9"/>
      <c r="J50" s="11"/>
      <c r="K50" s="25"/>
      <c r="L50" s="21"/>
      <c r="M50" s="26"/>
      <c r="N50" s="27" t="str">
        <f t="shared" si="0"/>
        <v/>
      </c>
    </row>
    <row r="51" spans="1:14" x14ac:dyDescent="0.4">
      <c r="A51" s="3"/>
      <c r="B51" s="4"/>
      <c r="C51" s="5"/>
      <c r="D51" s="95"/>
      <c r="E51" s="96"/>
      <c r="F51" s="22"/>
      <c r="G51" s="22"/>
      <c r="I51" s="9"/>
      <c r="J51" s="11"/>
      <c r="K51" s="25"/>
      <c r="L51" s="21"/>
      <c r="M51" s="26"/>
      <c r="N51" s="27" t="str">
        <f t="shared" si="0"/>
        <v/>
      </c>
    </row>
    <row r="52" spans="1:14" x14ac:dyDescent="0.4">
      <c r="A52" s="3"/>
      <c r="B52" s="4"/>
      <c r="C52" s="5"/>
      <c r="D52" s="95"/>
      <c r="E52" s="96"/>
      <c r="F52" s="22"/>
      <c r="G52" s="22"/>
      <c r="I52" s="9"/>
      <c r="J52" s="11"/>
      <c r="K52" s="25"/>
      <c r="L52" s="21"/>
      <c r="M52" s="26"/>
      <c r="N52" s="27" t="str">
        <f t="shared" si="0"/>
        <v/>
      </c>
    </row>
    <row r="53" spans="1:14" x14ac:dyDescent="0.4">
      <c r="A53" s="3"/>
      <c r="B53" s="4"/>
      <c r="C53" s="5"/>
      <c r="D53" s="95"/>
      <c r="E53" s="96"/>
      <c r="F53" s="22"/>
      <c r="G53" s="22"/>
      <c r="I53" s="9"/>
      <c r="J53" s="11"/>
      <c r="K53" s="25"/>
      <c r="L53" s="21"/>
      <c r="M53" s="26"/>
      <c r="N53" s="27" t="str">
        <f t="shared" si="0"/>
        <v/>
      </c>
    </row>
    <row r="54" spans="1:14" x14ac:dyDescent="0.4">
      <c r="A54" s="3"/>
      <c r="B54" s="4"/>
      <c r="C54" s="5"/>
      <c r="D54" s="95"/>
      <c r="E54" s="96"/>
      <c r="F54" s="22"/>
      <c r="G54" s="22"/>
      <c r="I54" s="9"/>
      <c r="J54" s="11"/>
      <c r="K54" s="25"/>
      <c r="L54" s="21"/>
      <c r="M54" s="26"/>
      <c r="N54" s="27" t="str">
        <f t="shared" si="0"/>
        <v/>
      </c>
    </row>
    <row r="55" spans="1:14" x14ac:dyDescent="0.4">
      <c r="A55" s="3"/>
      <c r="B55" s="4"/>
      <c r="C55" s="5"/>
      <c r="D55" s="95"/>
      <c r="E55" s="96"/>
      <c r="F55" s="22"/>
      <c r="G55" s="22"/>
      <c r="I55" s="9"/>
      <c r="J55" s="11"/>
      <c r="K55" s="25"/>
      <c r="L55" s="21"/>
      <c r="M55" s="26"/>
      <c r="N55" s="27" t="str">
        <f t="shared" si="0"/>
        <v/>
      </c>
    </row>
    <row r="56" spans="1:14" x14ac:dyDescent="0.4">
      <c r="A56" s="3"/>
      <c r="B56" s="4"/>
      <c r="C56" s="5"/>
      <c r="D56" s="95"/>
      <c r="E56" s="96"/>
      <c r="F56" s="22"/>
      <c r="G56" s="22"/>
      <c r="I56" s="9"/>
      <c r="J56" s="11"/>
      <c r="K56" s="25"/>
      <c r="L56" s="21"/>
      <c r="M56" s="26"/>
      <c r="N56" s="27" t="str">
        <f t="shared" si="0"/>
        <v/>
      </c>
    </row>
    <row r="57" spans="1:14" x14ac:dyDescent="0.4">
      <c r="A57" s="3"/>
      <c r="B57" s="4"/>
      <c r="C57" s="5"/>
      <c r="D57" s="95"/>
      <c r="E57" s="96"/>
      <c r="F57" s="22"/>
      <c r="G57" s="22"/>
      <c r="I57" s="9"/>
      <c r="J57" s="11"/>
      <c r="K57" s="25"/>
      <c r="L57" s="21"/>
      <c r="M57" s="26"/>
      <c r="N57" s="27" t="str">
        <f t="shared" si="0"/>
        <v/>
      </c>
    </row>
    <row r="58" spans="1:14" x14ac:dyDescent="0.4">
      <c r="A58" s="3"/>
      <c r="B58" s="4"/>
      <c r="C58" s="5"/>
      <c r="D58" s="95"/>
      <c r="E58" s="96"/>
      <c r="F58" s="22"/>
      <c r="G58" s="22"/>
      <c r="I58" s="9"/>
      <c r="J58" s="11"/>
      <c r="K58" s="25"/>
      <c r="L58" s="21"/>
      <c r="M58" s="26"/>
      <c r="N58" s="27" t="str">
        <f t="shared" si="0"/>
        <v/>
      </c>
    </row>
    <row r="59" spans="1:14" x14ac:dyDescent="0.4">
      <c r="A59" s="3"/>
      <c r="B59" s="4"/>
      <c r="C59" s="5"/>
      <c r="D59" s="95"/>
      <c r="E59" s="96"/>
      <c r="F59" s="22"/>
      <c r="G59" s="22"/>
      <c r="I59" s="9"/>
      <c r="J59" s="11"/>
      <c r="K59" s="25"/>
      <c r="L59" s="21"/>
      <c r="M59" s="26"/>
      <c r="N59" s="27" t="str">
        <f t="shared" si="0"/>
        <v/>
      </c>
    </row>
    <row r="60" spans="1:14" x14ac:dyDescent="0.4">
      <c r="A60" s="3"/>
      <c r="B60" s="4"/>
      <c r="C60" s="5"/>
      <c r="D60" s="95"/>
      <c r="E60" s="96"/>
      <c r="F60" s="22"/>
      <c r="G60" s="22"/>
      <c r="I60" s="9"/>
      <c r="J60" s="11"/>
      <c r="K60" s="25"/>
      <c r="L60" s="21"/>
      <c r="M60" s="26"/>
      <c r="N60" s="27" t="str">
        <f t="shared" si="0"/>
        <v/>
      </c>
    </row>
    <row r="61" spans="1:14" x14ac:dyDescent="0.4">
      <c r="A61" s="3"/>
      <c r="B61" s="4"/>
      <c r="C61" s="5"/>
      <c r="D61" s="95"/>
      <c r="E61" s="96"/>
      <c r="F61" s="22"/>
      <c r="G61" s="22"/>
      <c r="I61" s="9"/>
      <c r="J61" s="11"/>
      <c r="K61" s="25"/>
      <c r="L61" s="21"/>
      <c r="M61" s="26"/>
      <c r="N61" s="27" t="str">
        <f t="shared" si="0"/>
        <v/>
      </c>
    </row>
    <row r="62" spans="1:14" x14ac:dyDescent="0.4">
      <c r="A62" s="3"/>
      <c r="B62" s="4"/>
      <c r="C62" s="5"/>
      <c r="D62" s="95"/>
      <c r="E62" s="96"/>
      <c r="F62" s="22"/>
      <c r="G62" s="22"/>
      <c r="I62" s="9"/>
      <c r="J62" s="11"/>
      <c r="K62" s="25"/>
      <c r="L62" s="21"/>
      <c r="M62" s="26"/>
      <c r="N62" s="27" t="str">
        <f t="shared" si="0"/>
        <v/>
      </c>
    </row>
    <row r="63" spans="1:14" x14ac:dyDescent="0.4">
      <c r="A63" s="3"/>
      <c r="B63" s="4"/>
      <c r="C63" s="5"/>
      <c r="D63" s="95"/>
      <c r="E63" s="96"/>
      <c r="F63" s="22"/>
      <c r="G63" s="22"/>
      <c r="I63" s="9"/>
      <c r="J63" s="11"/>
      <c r="K63" s="25"/>
      <c r="L63" s="21"/>
      <c r="M63" s="26"/>
      <c r="N63" s="27" t="str">
        <f t="shared" si="0"/>
        <v/>
      </c>
    </row>
    <row r="64" spans="1:14" x14ac:dyDescent="0.4">
      <c r="A64" s="3"/>
      <c r="B64" s="4"/>
      <c r="C64" s="5"/>
      <c r="D64" s="95"/>
      <c r="E64" s="96"/>
      <c r="F64" s="22"/>
      <c r="G64" s="22"/>
      <c r="I64" s="9"/>
      <c r="J64" s="11"/>
      <c r="K64" s="25"/>
      <c r="L64" s="21"/>
      <c r="M64" s="26"/>
      <c r="N64" s="27" t="str">
        <f t="shared" si="0"/>
        <v/>
      </c>
    </row>
    <row r="65" spans="1:14" x14ac:dyDescent="0.4">
      <c r="A65" s="3"/>
      <c r="B65" s="4"/>
      <c r="C65" s="5"/>
      <c r="D65" s="95"/>
      <c r="E65" s="96"/>
      <c r="F65" s="22"/>
      <c r="G65" s="22"/>
      <c r="I65" s="9"/>
      <c r="J65" s="11"/>
      <c r="K65" s="25"/>
      <c r="L65" s="21"/>
      <c r="M65" s="26"/>
      <c r="N65" s="27" t="str">
        <f t="shared" si="0"/>
        <v/>
      </c>
    </row>
    <row r="66" spans="1:14" x14ac:dyDescent="0.4">
      <c r="A66" s="3"/>
      <c r="B66" s="4"/>
      <c r="C66" s="5"/>
      <c r="D66" s="95"/>
      <c r="E66" s="96"/>
      <c r="F66" s="22"/>
      <c r="G66" s="22"/>
      <c r="I66" s="9"/>
      <c r="J66" s="11"/>
      <c r="K66" s="25"/>
      <c r="L66" s="21"/>
      <c r="M66" s="26"/>
      <c r="N66" s="27" t="str">
        <f t="shared" ref="N66" si="1">IF(K66+L66+M66=0,"",K66+L66+M66)</f>
        <v/>
      </c>
    </row>
    <row r="67" spans="1:14" x14ac:dyDescent="0.4">
      <c r="A67" s="6"/>
      <c r="B67" s="7"/>
      <c r="C67" s="8"/>
      <c r="D67" s="98"/>
      <c r="E67" s="99"/>
      <c r="F67" s="23"/>
      <c r="G67" s="23"/>
      <c r="I67" s="10"/>
      <c r="J67" s="11"/>
      <c r="K67" s="30"/>
      <c r="L67" s="31"/>
      <c r="M67" s="32"/>
      <c r="N67" s="33" t="str">
        <f>IF(K67+L67+M67=0,"",K67+L67+M67)</f>
        <v/>
      </c>
    </row>
    <row r="68" spans="1:14" x14ac:dyDescent="0.4">
      <c r="A68" s="3"/>
      <c r="B68" s="4"/>
      <c r="C68" s="5"/>
      <c r="D68" s="95"/>
      <c r="E68" s="96"/>
      <c r="F68" s="20"/>
      <c r="G68" s="21"/>
      <c r="H68" s="1"/>
      <c r="I68" s="9"/>
      <c r="J68" s="11"/>
      <c r="K68" s="25"/>
      <c r="L68" s="21"/>
      <c r="M68" s="26"/>
      <c r="N68" s="27" t="str">
        <f t="shared" ref="N68:N71" si="2">IF(K68+L68+M68=0,"",K68+L68+M68)</f>
        <v/>
      </c>
    </row>
    <row r="69" spans="1:14" x14ac:dyDescent="0.4">
      <c r="A69" s="3"/>
      <c r="B69" s="4"/>
      <c r="C69" s="5"/>
      <c r="D69" s="95"/>
      <c r="E69" s="96"/>
      <c r="F69" s="22"/>
      <c r="G69" s="22"/>
      <c r="I69" s="9"/>
      <c r="J69" s="11"/>
      <c r="K69" s="25"/>
      <c r="L69" s="21"/>
      <c r="M69" s="26"/>
      <c r="N69" s="27" t="str">
        <f t="shared" si="2"/>
        <v/>
      </c>
    </row>
    <row r="70" spans="1:14" x14ac:dyDescent="0.4">
      <c r="A70" s="3"/>
      <c r="B70" s="4"/>
      <c r="C70" s="5"/>
      <c r="D70" s="95"/>
      <c r="E70" s="96"/>
      <c r="F70" s="22"/>
      <c r="G70" s="22"/>
      <c r="I70" s="9"/>
      <c r="J70" s="11"/>
      <c r="K70" s="25"/>
      <c r="L70" s="21"/>
      <c r="M70" s="26"/>
      <c r="N70" s="27" t="str">
        <f t="shared" si="2"/>
        <v/>
      </c>
    </row>
    <row r="71" spans="1:14" ht="19.5" thickBot="1" x14ac:dyDescent="0.45">
      <c r="A71" s="3"/>
      <c r="B71" s="4"/>
      <c r="C71" s="5"/>
      <c r="D71" s="95"/>
      <c r="E71" s="96"/>
      <c r="F71" s="22"/>
      <c r="G71" s="22"/>
      <c r="I71" s="9"/>
      <c r="J71" s="11"/>
      <c r="K71" s="25"/>
      <c r="L71" s="21"/>
      <c r="M71" s="26"/>
      <c r="N71" s="27" t="str">
        <f t="shared" si="2"/>
        <v/>
      </c>
    </row>
    <row r="72" spans="1:14" ht="19.5" thickTop="1" x14ac:dyDescent="0.4">
      <c r="A72" s="2"/>
      <c r="B72" s="2"/>
      <c r="C72" s="2"/>
      <c r="D72" s="39"/>
      <c r="E72" s="43" t="s">
        <v>13</v>
      </c>
      <c r="F72" s="40"/>
      <c r="G72" s="41">
        <f>SUM(G2:G71)</f>
        <v>0</v>
      </c>
      <c r="I72" s="2"/>
      <c r="K72" s="34">
        <f>SUM(K2:K71)</f>
        <v>0</v>
      </c>
      <c r="L72" s="24">
        <f>SUM(L2:L71)</f>
        <v>0</v>
      </c>
      <c r="M72" s="35">
        <f>SUM(M2:M71)</f>
        <v>0</v>
      </c>
      <c r="N72" s="36">
        <f>SUM(N2:N71)</f>
        <v>0</v>
      </c>
    </row>
  </sheetData>
  <sheetProtection formatColumns="0" pivotTables="0"/>
  <mergeCells count="70">
    <mergeCell ref="D68:E68"/>
    <mergeCell ref="D69:E69"/>
    <mergeCell ref="D70:E70"/>
    <mergeCell ref="D71:E71"/>
    <mergeCell ref="D62:E62"/>
    <mergeCell ref="D63:E63"/>
    <mergeCell ref="D64:E64"/>
    <mergeCell ref="D65:E65"/>
    <mergeCell ref="D66:E66"/>
    <mergeCell ref="D67:E67"/>
    <mergeCell ref="D61:E61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49:E49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37:E37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25:E25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13:E13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</mergeCells>
  <phoneticPr fontId="2"/>
  <dataValidations count="3">
    <dataValidation type="list" allowBlank="1" showInputMessage="1" showErrorMessage="1" sqref="C2:C71" xr:uid="{336C6AB8-FCDF-408D-8F1A-086BA75198ED}">
      <formula1>"旅費交通費,仕入材料,現場関係費,交際費,厚生費,水道光熱費,通信費,租税公課,事務消耗品費,運賃,消耗品費,諸会費,諸雑費"</formula1>
    </dataValidation>
    <dataValidation type="list" allowBlank="1" showInputMessage="1" showErrorMessage="1" sqref="I2:J71" xr:uid="{F81BAC31-00F3-4718-8724-2E71B70AA1C5}">
      <formula1>"有,無,不要"</formula1>
    </dataValidation>
    <dataValidation allowBlank="1" showInputMessage="1" showErrorMessage="1" promptTitle="西暦入力" prompt="〇〇〇〇/〇〇/〇〇で入力ください。" sqref="B2:B71" xr:uid="{ACDC1AB1-9385-4C4E-A392-1446644A2C02}"/>
  </dataValidations>
  <pageMargins left="0.51181102362204722" right="0.11811023622047245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8FA4-76F5-4923-9FF5-DF646A48E60B}">
  <sheetPr>
    <tabColor rgb="FFFF0000"/>
  </sheetPr>
  <dimension ref="A1:O69"/>
  <sheetViews>
    <sheetView zoomScaleNormal="100" workbookViewId="0">
      <selection activeCell="L7" sqref="L7"/>
    </sheetView>
  </sheetViews>
  <sheetFormatPr defaultRowHeight="18.75" outlineLevelCol="1" x14ac:dyDescent="0.4"/>
  <cols>
    <col min="1" max="1" width="6" customWidth="1"/>
    <col min="2" max="2" width="8.875" customWidth="1"/>
    <col min="3" max="3" width="10.5" customWidth="1"/>
    <col min="4" max="4" width="35.125" customWidth="1"/>
    <col min="5" max="5" width="5.5" customWidth="1"/>
    <col min="6" max="7" width="10.625" customWidth="1"/>
    <col min="8" max="8" width="1.5" customWidth="1" outlineLevel="1"/>
    <col min="9" max="9" width="7.25" customWidth="1" outlineLevel="1"/>
    <col min="10" max="10" width="0.875" customWidth="1" outlineLevel="1"/>
    <col min="11" max="13" width="9.25" customWidth="1" outlineLevel="1"/>
    <col min="14" max="14" width="10.25" customWidth="1" outlineLevel="1"/>
    <col min="15" max="15" width="9" customWidth="1" outlineLevel="1"/>
    <col min="16" max="16" width="11.375" bestFit="1" customWidth="1"/>
  </cols>
  <sheetData>
    <row r="1" spans="1:14" x14ac:dyDescent="0.4">
      <c r="A1" s="12" t="s">
        <v>20</v>
      </c>
      <c r="B1" s="13" t="s">
        <v>7</v>
      </c>
      <c r="C1" s="13" t="s">
        <v>5</v>
      </c>
      <c r="D1" s="42" t="s">
        <v>6</v>
      </c>
      <c r="E1" s="51" t="s">
        <v>16</v>
      </c>
      <c r="F1" s="14" t="s">
        <v>0</v>
      </c>
      <c r="G1" s="13" t="s">
        <v>1</v>
      </c>
      <c r="H1" s="37" t="s">
        <v>11</v>
      </c>
      <c r="I1" s="15" t="s">
        <v>3</v>
      </c>
      <c r="J1" s="38" t="s">
        <v>12</v>
      </c>
      <c r="K1" s="16" t="s">
        <v>8</v>
      </c>
      <c r="L1" s="17" t="s">
        <v>9</v>
      </c>
      <c r="M1" s="18" t="s">
        <v>2</v>
      </c>
      <c r="N1" s="19" t="s">
        <v>10</v>
      </c>
    </row>
    <row r="2" spans="1:14" x14ac:dyDescent="0.4">
      <c r="A2" s="3" t="s">
        <v>24</v>
      </c>
      <c r="B2" s="4">
        <v>45385</v>
      </c>
      <c r="C2" s="5" t="s">
        <v>4</v>
      </c>
      <c r="D2" s="95" t="s">
        <v>21</v>
      </c>
      <c r="E2" s="96"/>
      <c r="F2" s="20"/>
      <c r="G2" s="21">
        <v>4820</v>
      </c>
      <c r="H2" s="1"/>
      <c r="I2" s="9" t="s">
        <v>22</v>
      </c>
      <c r="J2" s="11"/>
      <c r="K2" s="25">
        <v>4820</v>
      </c>
      <c r="L2" s="21"/>
      <c r="M2" s="26"/>
      <c r="N2" s="27">
        <f t="shared" ref="N2:N67" si="0">IF(K2+L2+M2=0,"",K2+L2+M2)</f>
        <v>4820</v>
      </c>
    </row>
    <row r="3" spans="1:14" x14ac:dyDescent="0.4">
      <c r="A3" s="3" t="s">
        <v>24</v>
      </c>
      <c r="B3" s="4">
        <v>45386</v>
      </c>
      <c r="C3" s="5" t="s">
        <v>4</v>
      </c>
      <c r="D3" s="95" t="s">
        <v>14</v>
      </c>
      <c r="E3" s="96"/>
      <c r="F3" s="22"/>
      <c r="G3" s="22">
        <v>1733</v>
      </c>
      <c r="I3" s="9" t="s">
        <v>23</v>
      </c>
      <c r="J3" s="11"/>
      <c r="K3" s="25">
        <v>1733</v>
      </c>
      <c r="L3" s="21"/>
      <c r="M3" s="26"/>
      <c r="N3" s="27">
        <f t="shared" si="0"/>
        <v>1733</v>
      </c>
    </row>
    <row r="4" spans="1:14" x14ac:dyDescent="0.4">
      <c r="A4" s="54" t="s">
        <v>32</v>
      </c>
      <c r="B4" s="55">
        <v>45384</v>
      </c>
      <c r="C4" s="56" t="s">
        <v>4</v>
      </c>
      <c r="D4" s="93" t="s">
        <v>25</v>
      </c>
      <c r="E4" s="94"/>
      <c r="F4" s="57"/>
      <c r="G4" s="57">
        <v>740</v>
      </c>
      <c r="H4" s="58"/>
      <c r="I4" s="59" t="s">
        <v>23</v>
      </c>
      <c r="J4" s="60"/>
      <c r="K4" s="61">
        <v>740</v>
      </c>
      <c r="L4" s="62"/>
      <c r="M4" s="63"/>
      <c r="N4" s="64">
        <f t="shared" si="0"/>
        <v>740</v>
      </c>
    </row>
    <row r="5" spans="1:14" x14ac:dyDescent="0.4">
      <c r="A5" s="54" t="s">
        <v>32</v>
      </c>
      <c r="B5" s="55">
        <v>45384</v>
      </c>
      <c r="C5" s="56" t="s">
        <v>4</v>
      </c>
      <c r="D5" s="93" t="s">
        <v>26</v>
      </c>
      <c r="E5" s="94"/>
      <c r="F5" s="57"/>
      <c r="G5" s="57">
        <v>30000</v>
      </c>
      <c r="H5" s="65"/>
      <c r="I5" s="59" t="s">
        <v>23</v>
      </c>
      <c r="J5" s="60"/>
      <c r="K5" s="61">
        <v>30000</v>
      </c>
      <c r="L5" s="62"/>
      <c r="M5" s="63"/>
      <c r="N5" s="64">
        <f>IF(K5+L5+M5=0,"",K5+L5+M5)</f>
        <v>30000</v>
      </c>
    </row>
    <row r="6" spans="1:14" x14ac:dyDescent="0.4">
      <c r="A6" s="54" t="s">
        <v>32</v>
      </c>
      <c r="B6" s="55">
        <v>45385</v>
      </c>
      <c r="C6" s="56" t="s">
        <v>4</v>
      </c>
      <c r="D6" s="93" t="s">
        <v>25</v>
      </c>
      <c r="E6" s="94"/>
      <c r="F6" s="57"/>
      <c r="G6" s="57">
        <v>3186</v>
      </c>
      <c r="H6" s="65"/>
      <c r="I6" s="59" t="s">
        <v>23</v>
      </c>
      <c r="J6" s="60"/>
      <c r="K6" s="61">
        <v>2095</v>
      </c>
      <c r="L6" s="62">
        <v>1091</v>
      </c>
      <c r="M6" s="63"/>
      <c r="N6" s="64">
        <f>IF(K6+L6+M6=0,"",K6+L6+M6)</f>
        <v>3186</v>
      </c>
    </row>
    <row r="7" spans="1:14" x14ac:dyDescent="0.4">
      <c r="A7" s="54" t="s">
        <v>32</v>
      </c>
      <c r="B7" s="55">
        <v>45385</v>
      </c>
      <c r="C7" s="56" t="s">
        <v>4</v>
      </c>
      <c r="D7" s="93" t="s">
        <v>25</v>
      </c>
      <c r="E7" s="94"/>
      <c r="F7" s="57"/>
      <c r="G7" s="57">
        <v>2031</v>
      </c>
      <c r="H7" s="65"/>
      <c r="I7" s="59" t="s">
        <v>23</v>
      </c>
      <c r="J7" s="60"/>
      <c r="K7" s="61">
        <v>2031</v>
      </c>
      <c r="L7" s="62"/>
      <c r="M7" s="63"/>
      <c r="N7" s="64">
        <f t="shared" si="0"/>
        <v>2031</v>
      </c>
    </row>
    <row r="8" spans="1:14" x14ac:dyDescent="0.4">
      <c r="A8" s="54" t="s">
        <v>32</v>
      </c>
      <c r="B8" s="55">
        <v>45386</v>
      </c>
      <c r="C8" s="56" t="s">
        <v>4</v>
      </c>
      <c r="D8" s="93" t="s">
        <v>25</v>
      </c>
      <c r="E8" s="94"/>
      <c r="F8" s="66"/>
      <c r="G8" s="67">
        <v>1739</v>
      </c>
      <c r="H8" s="65"/>
      <c r="I8" s="59" t="s">
        <v>23</v>
      </c>
      <c r="J8" s="60"/>
      <c r="K8" s="61">
        <v>583</v>
      </c>
      <c r="L8" s="62">
        <v>1156</v>
      </c>
      <c r="M8" s="63"/>
      <c r="N8" s="64">
        <f>IF(K8+L8+M8=0,"",K8+L8+M8)</f>
        <v>1739</v>
      </c>
    </row>
    <row r="9" spans="1:14" x14ac:dyDescent="0.4">
      <c r="A9" s="54" t="s">
        <v>32</v>
      </c>
      <c r="B9" s="55">
        <v>45386</v>
      </c>
      <c r="C9" s="56" t="s">
        <v>4</v>
      </c>
      <c r="D9" s="93" t="s">
        <v>25</v>
      </c>
      <c r="E9" s="94"/>
      <c r="F9" s="57"/>
      <c r="G9" s="57">
        <v>1059</v>
      </c>
      <c r="H9" s="65"/>
      <c r="I9" s="59" t="s">
        <v>23</v>
      </c>
      <c r="J9" s="60"/>
      <c r="K9" s="61"/>
      <c r="L9" s="62">
        <v>1059</v>
      </c>
      <c r="M9" s="63"/>
      <c r="N9" s="64">
        <f t="shared" si="0"/>
        <v>1059</v>
      </c>
    </row>
    <row r="10" spans="1:14" x14ac:dyDescent="0.4">
      <c r="A10" s="54" t="s">
        <v>32</v>
      </c>
      <c r="B10" s="55">
        <v>45387</v>
      </c>
      <c r="C10" s="56" t="s">
        <v>4</v>
      </c>
      <c r="D10" s="93" t="s">
        <v>27</v>
      </c>
      <c r="E10" s="94"/>
      <c r="F10" s="57"/>
      <c r="G10" s="57">
        <v>8944</v>
      </c>
      <c r="H10" s="65"/>
      <c r="I10" s="59" t="s">
        <v>23</v>
      </c>
      <c r="J10" s="60"/>
      <c r="K10" s="61">
        <v>7092</v>
      </c>
      <c r="L10" s="62"/>
      <c r="M10" s="63">
        <v>1852</v>
      </c>
      <c r="N10" s="64">
        <f t="shared" si="0"/>
        <v>8944</v>
      </c>
    </row>
    <row r="11" spans="1:14" x14ac:dyDescent="0.4">
      <c r="A11" s="54" t="s">
        <v>32</v>
      </c>
      <c r="B11" s="55">
        <v>45387</v>
      </c>
      <c r="C11" s="56" t="s">
        <v>4</v>
      </c>
      <c r="D11" s="93" t="s">
        <v>25</v>
      </c>
      <c r="E11" s="94"/>
      <c r="F11" s="57"/>
      <c r="G11" s="57">
        <v>819</v>
      </c>
      <c r="H11" s="65"/>
      <c r="I11" s="59" t="s">
        <v>23</v>
      </c>
      <c r="J11" s="60"/>
      <c r="K11" s="61"/>
      <c r="L11" s="62">
        <v>819</v>
      </c>
      <c r="M11" s="63"/>
      <c r="N11" s="64">
        <f t="shared" si="0"/>
        <v>819</v>
      </c>
    </row>
    <row r="12" spans="1:14" x14ac:dyDescent="0.4">
      <c r="A12" s="54" t="s">
        <v>32</v>
      </c>
      <c r="B12" s="55">
        <v>45387</v>
      </c>
      <c r="C12" s="56" t="s">
        <v>4</v>
      </c>
      <c r="D12" s="93" t="s">
        <v>28</v>
      </c>
      <c r="E12" s="94"/>
      <c r="F12" s="57"/>
      <c r="G12" s="57">
        <v>2100</v>
      </c>
      <c r="H12" s="65"/>
      <c r="I12" s="59" t="s">
        <v>23</v>
      </c>
      <c r="J12" s="60"/>
      <c r="K12" s="61">
        <v>2100</v>
      </c>
      <c r="L12" s="62"/>
      <c r="M12" s="63"/>
      <c r="N12" s="64">
        <f t="shared" si="0"/>
        <v>2100</v>
      </c>
    </row>
    <row r="13" spans="1:14" x14ac:dyDescent="0.4">
      <c r="A13" s="54" t="s">
        <v>32</v>
      </c>
      <c r="B13" s="55">
        <v>45390</v>
      </c>
      <c r="C13" s="56" t="s">
        <v>4</v>
      </c>
      <c r="D13" s="93" t="s">
        <v>25</v>
      </c>
      <c r="E13" s="94"/>
      <c r="F13" s="57"/>
      <c r="G13" s="57">
        <v>2294</v>
      </c>
      <c r="H13" s="65"/>
      <c r="I13" s="59" t="s">
        <v>23</v>
      </c>
      <c r="J13" s="60"/>
      <c r="K13" s="61">
        <v>1153</v>
      </c>
      <c r="L13" s="62">
        <v>1141</v>
      </c>
      <c r="M13" s="63"/>
      <c r="N13" s="64">
        <f>IF(K13+L13+M13=0,"",K13+L13+M13)</f>
        <v>2294</v>
      </c>
    </row>
    <row r="14" spans="1:14" x14ac:dyDescent="0.4">
      <c r="A14" s="54" t="s">
        <v>32</v>
      </c>
      <c r="B14" s="55">
        <v>45390</v>
      </c>
      <c r="C14" s="56" t="s">
        <v>4</v>
      </c>
      <c r="D14" s="93" t="s">
        <v>27</v>
      </c>
      <c r="E14" s="94"/>
      <c r="F14" s="57"/>
      <c r="G14" s="57">
        <v>4916</v>
      </c>
      <c r="H14" s="65"/>
      <c r="I14" s="59" t="s">
        <v>23</v>
      </c>
      <c r="J14" s="60"/>
      <c r="K14" s="61">
        <v>3805</v>
      </c>
      <c r="L14" s="62"/>
      <c r="M14" s="63">
        <v>1111</v>
      </c>
      <c r="N14" s="64">
        <f t="shared" si="0"/>
        <v>4916</v>
      </c>
    </row>
    <row r="15" spans="1:14" x14ac:dyDescent="0.4">
      <c r="A15" s="54" t="s">
        <v>32</v>
      </c>
      <c r="B15" s="55">
        <v>45391</v>
      </c>
      <c r="C15" s="56" t="s">
        <v>4</v>
      </c>
      <c r="D15" s="93" t="s">
        <v>25</v>
      </c>
      <c r="E15" s="94"/>
      <c r="F15" s="57"/>
      <c r="G15" s="57">
        <v>2248</v>
      </c>
      <c r="H15" s="65"/>
      <c r="I15" s="59" t="s">
        <v>23</v>
      </c>
      <c r="J15" s="60"/>
      <c r="K15" s="61">
        <v>948</v>
      </c>
      <c r="L15" s="62">
        <v>1300</v>
      </c>
      <c r="M15" s="68"/>
      <c r="N15" s="64">
        <f t="shared" si="0"/>
        <v>2248</v>
      </c>
    </row>
    <row r="16" spans="1:14" x14ac:dyDescent="0.4">
      <c r="A16" s="54" t="s">
        <v>32</v>
      </c>
      <c r="B16" s="55">
        <v>45391</v>
      </c>
      <c r="C16" s="56" t="s">
        <v>4</v>
      </c>
      <c r="D16" s="93" t="s">
        <v>25</v>
      </c>
      <c r="E16" s="94"/>
      <c r="F16" s="57"/>
      <c r="G16" s="57">
        <v>1970</v>
      </c>
      <c r="H16" s="65"/>
      <c r="I16" s="59" t="s">
        <v>23</v>
      </c>
      <c r="J16" s="60"/>
      <c r="K16" s="61">
        <v>1163</v>
      </c>
      <c r="L16" s="62">
        <v>807</v>
      </c>
      <c r="M16" s="63"/>
      <c r="N16" s="64">
        <f t="shared" si="0"/>
        <v>1970</v>
      </c>
    </row>
    <row r="17" spans="1:14" x14ac:dyDescent="0.4">
      <c r="A17" s="54" t="s">
        <v>32</v>
      </c>
      <c r="B17" s="55">
        <v>45391</v>
      </c>
      <c r="C17" s="56" t="s">
        <v>4</v>
      </c>
      <c r="D17" s="93" t="s">
        <v>25</v>
      </c>
      <c r="E17" s="94"/>
      <c r="F17" s="57"/>
      <c r="G17" s="57">
        <v>1419</v>
      </c>
      <c r="H17" s="65"/>
      <c r="I17" s="59" t="s">
        <v>23</v>
      </c>
      <c r="J17" s="60"/>
      <c r="K17" s="61">
        <v>1419</v>
      </c>
      <c r="L17" s="62"/>
      <c r="M17" s="63"/>
      <c r="N17" s="64">
        <f t="shared" si="0"/>
        <v>1419</v>
      </c>
    </row>
    <row r="18" spans="1:14" x14ac:dyDescent="0.4">
      <c r="A18" s="54" t="s">
        <v>32</v>
      </c>
      <c r="B18" s="55">
        <v>45391</v>
      </c>
      <c r="C18" s="56" t="s">
        <v>4</v>
      </c>
      <c r="D18" s="93" t="s">
        <v>26</v>
      </c>
      <c r="E18" s="94"/>
      <c r="F18" s="57"/>
      <c r="G18" s="57">
        <v>43000</v>
      </c>
      <c r="H18" s="65"/>
      <c r="I18" s="59" t="s">
        <v>23</v>
      </c>
      <c r="J18" s="60"/>
      <c r="K18" s="61">
        <v>43000</v>
      </c>
      <c r="L18" s="62"/>
      <c r="M18" s="63"/>
      <c r="N18" s="64">
        <f t="shared" si="0"/>
        <v>43000</v>
      </c>
    </row>
    <row r="19" spans="1:14" x14ac:dyDescent="0.4">
      <c r="A19" s="54" t="s">
        <v>32</v>
      </c>
      <c r="B19" s="55">
        <v>45392</v>
      </c>
      <c r="C19" s="56" t="s">
        <v>4</v>
      </c>
      <c r="D19" s="93" t="s">
        <v>25</v>
      </c>
      <c r="E19" s="94"/>
      <c r="F19" s="57"/>
      <c r="G19" s="57">
        <v>1660</v>
      </c>
      <c r="H19" s="65"/>
      <c r="I19" s="59" t="s">
        <v>23</v>
      </c>
      <c r="J19" s="60"/>
      <c r="K19" s="61">
        <v>585</v>
      </c>
      <c r="L19" s="62">
        <v>1075</v>
      </c>
      <c r="M19" s="63"/>
      <c r="N19" s="64">
        <f t="shared" si="0"/>
        <v>1660</v>
      </c>
    </row>
    <row r="20" spans="1:14" x14ac:dyDescent="0.4">
      <c r="A20" s="54" t="s">
        <v>32</v>
      </c>
      <c r="B20" s="55">
        <v>45392</v>
      </c>
      <c r="C20" s="56" t="s">
        <v>4</v>
      </c>
      <c r="D20" s="93" t="s">
        <v>25</v>
      </c>
      <c r="E20" s="94"/>
      <c r="F20" s="57"/>
      <c r="G20" s="57">
        <v>865</v>
      </c>
      <c r="H20" s="65"/>
      <c r="I20" s="59" t="s">
        <v>23</v>
      </c>
      <c r="J20" s="60"/>
      <c r="K20" s="61">
        <v>865</v>
      </c>
      <c r="L20" s="62"/>
      <c r="M20" s="63"/>
      <c r="N20" s="64">
        <f t="shared" si="0"/>
        <v>865</v>
      </c>
    </row>
    <row r="21" spans="1:14" x14ac:dyDescent="0.4">
      <c r="A21" s="54" t="s">
        <v>32</v>
      </c>
      <c r="B21" s="55">
        <v>45393</v>
      </c>
      <c r="C21" s="56" t="s">
        <v>4</v>
      </c>
      <c r="D21" s="93" t="s">
        <v>25</v>
      </c>
      <c r="E21" s="94"/>
      <c r="F21" s="57"/>
      <c r="G21" s="57">
        <v>1816</v>
      </c>
      <c r="H21" s="65"/>
      <c r="I21" s="59" t="s">
        <v>23</v>
      </c>
      <c r="J21" s="60"/>
      <c r="K21" s="61">
        <v>583</v>
      </c>
      <c r="L21" s="62">
        <v>1233</v>
      </c>
      <c r="M21" s="63"/>
      <c r="N21" s="64">
        <f t="shared" si="0"/>
        <v>1816</v>
      </c>
    </row>
    <row r="22" spans="1:14" x14ac:dyDescent="0.4">
      <c r="A22" s="54" t="s">
        <v>32</v>
      </c>
      <c r="B22" s="55">
        <v>45393</v>
      </c>
      <c r="C22" s="56" t="s">
        <v>4</v>
      </c>
      <c r="D22" s="93" t="s">
        <v>25</v>
      </c>
      <c r="E22" s="94"/>
      <c r="F22" s="57"/>
      <c r="G22" s="57">
        <v>2247</v>
      </c>
      <c r="H22" s="65"/>
      <c r="I22" s="59" t="s">
        <v>23</v>
      </c>
      <c r="J22" s="60"/>
      <c r="K22" s="61">
        <v>2247</v>
      </c>
      <c r="L22" s="62"/>
      <c r="M22" s="63"/>
      <c r="N22" s="64">
        <f t="shared" si="0"/>
        <v>2247</v>
      </c>
    </row>
    <row r="23" spans="1:14" x14ac:dyDescent="0.4">
      <c r="A23" s="54" t="s">
        <v>32</v>
      </c>
      <c r="B23" s="55">
        <v>45394</v>
      </c>
      <c r="C23" s="56" t="s">
        <v>4</v>
      </c>
      <c r="D23" s="93" t="s">
        <v>25</v>
      </c>
      <c r="E23" s="94"/>
      <c r="F23" s="57"/>
      <c r="G23" s="57">
        <v>1637</v>
      </c>
      <c r="H23" s="65"/>
      <c r="I23" s="59" t="s">
        <v>23</v>
      </c>
      <c r="J23" s="60"/>
      <c r="K23" s="61">
        <v>583</v>
      </c>
      <c r="L23" s="62">
        <v>1054</v>
      </c>
      <c r="M23" s="63"/>
      <c r="N23" s="64">
        <f t="shared" si="0"/>
        <v>1637</v>
      </c>
    </row>
    <row r="24" spans="1:14" x14ac:dyDescent="0.4">
      <c r="A24" s="54" t="s">
        <v>32</v>
      </c>
      <c r="B24" s="55">
        <v>45395</v>
      </c>
      <c r="C24" s="56" t="s">
        <v>4</v>
      </c>
      <c r="D24" s="93" t="s">
        <v>25</v>
      </c>
      <c r="E24" s="94"/>
      <c r="F24" s="57"/>
      <c r="G24" s="57">
        <v>1929</v>
      </c>
      <c r="H24" s="65"/>
      <c r="I24" s="59" t="s">
        <v>23</v>
      </c>
      <c r="J24" s="60"/>
      <c r="K24" s="61">
        <v>583</v>
      </c>
      <c r="L24" s="62">
        <v>1346</v>
      </c>
      <c r="M24" s="63"/>
      <c r="N24" s="64">
        <f t="shared" si="0"/>
        <v>1929</v>
      </c>
    </row>
    <row r="25" spans="1:14" x14ac:dyDescent="0.4">
      <c r="A25" s="54" t="s">
        <v>32</v>
      </c>
      <c r="B25" s="55">
        <v>45395</v>
      </c>
      <c r="C25" s="56" t="s">
        <v>4</v>
      </c>
      <c r="D25" s="93" t="s">
        <v>25</v>
      </c>
      <c r="E25" s="94"/>
      <c r="F25" s="57"/>
      <c r="G25" s="57">
        <v>2150</v>
      </c>
      <c r="H25" s="65"/>
      <c r="I25" s="59" t="s">
        <v>29</v>
      </c>
      <c r="J25" s="60"/>
      <c r="K25" s="61">
        <v>2150</v>
      </c>
      <c r="L25" s="62"/>
      <c r="M25" s="63"/>
      <c r="N25" s="64">
        <f t="shared" si="0"/>
        <v>2150</v>
      </c>
    </row>
    <row r="26" spans="1:14" x14ac:dyDescent="0.4">
      <c r="A26" s="54" t="s">
        <v>32</v>
      </c>
      <c r="B26" s="55">
        <v>45395</v>
      </c>
      <c r="C26" s="56" t="s">
        <v>4</v>
      </c>
      <c r="D26" s="93" t="s">
        <v>27</v>
      </c>
      <c r="E26" s="97"/>
      <c r="F26" s="57"/>
      <c r="G26" s="57">
        <v>6045</v>
      </c>
      <c r="H26" s="65"/>
      <c r="I26" s="59" t="s">
        <v>23</v>
      </c>
      <c r="J26" s="60"/>
      <c r="K26" s="61">
        <v>4794</v>
      </c>
      <c r="L26" s="62">
        <v>1251</v>
      </c>
      <c r="M26" s="63"/>
      <c r="N26" s="64">
        <f t="shared" si="0"/>
        <v>6045</v>
      </c>
    </row>
    <row r="27" spans="1:14" x14ac:dyDescent="0.4">
      <c r="A27" s="54" t="s">
        <v>32</v>
      </c>
      <c r="B27" s="55">
        <v>45396</v>
      </c>
      <c r="C27" s="56" t="s">
        <v>4</v>
      </c>
      <c r="D27" s="93" t="s">
        <v>28</v>
      </c>
      <c r="E27" s="94"/>
      <c r="F27" s="57"/>
      <c r="G27" s="57">
        <v>1050</v>
      </c>
      <c r="H27" s="65"/>
      <c r="I27" s="59" t="s">
        <v>23</v>
      </c>
      <c r="J27" s="60"/>
      <c r="K27" s="61">
        <v>1050</v>
      </c>
      <c r="L27" s="62"/>
      <c r="M27" s="63"/>
      <c r="N27" s="64">
        <f t="shared" si="0"/>
        <v>1050</v>
      </c>
    </row>
    <row r="28" spans="1:14" x14ac:dyDescent="0.4">
      <c r="A28" s="54" t="s">
        <v>32</v>
      </c>
      <c r="B28" s="55">
        <v>45397</v>
      </c>
      <c r="C28" s="56" t="s">
        <v>30</v>
      </c>
      <c r="D28" s="93" t="s">
        <v>31</v>
      </c>
      <c r="E28" s="97"/>
      <c r="F28" s="57"/>
      <c r="G28" s="57">
        <v>2178</v>
      </c>
      <c r="H28" s="65"/>
      <c r="I28" s="59" t="s">
        <v>23</v>
      </c>
      <c r="J28" s="60"/>
      <c r="K28" s="61">
        <v>2178</v>
      </c>
      <c r="L28" s="62"/>
      <c r="M28" s="63"/>
      <c r="N28" s="64">
        <f t="shared" si="0"/>
        <v>2178</v>
      </c>
    </row>
    <row r="29" spans="1:14" x14ac:dyDescent="0.4">
      <c r="A29" s="3" t="s">
        <v>38</v>
      </c>
      <c r="B29" s="4">
        <v>45408</v>
      </c>
      <c r="C29" s="5" t="s">
        <v>4</v>
      </c>
      <c r="D29" s="95" t="s">
        <v>33</v>
      </c>
      <c r="E29" s="96"/>
      <c r="F29" s="20"/>
      <c r="G29" s="21">
        <v>560</v>
      </c>
      <c r="H29" s="1"/>
      <c r="I29" s="9" t="s">
        <v>23</v>
      </c>
      <c r="J29" s="11"/>
      <c r="K29" s="25">
        <v>560</v>
      </c>
      <c r="L29" s="21"/>
      <c r="M29" s="26"/>
      <c r="N29" s="27">
        <f t="shared" si="0"/>
        <v>560</v>
      </c>
    </row>
    <row r="30" spans="1:14" x14ac:dyDescent="0.4">
      <c r="A30" s="3" t="s">
        <v>38</v>
      </c>
      <c r="B30" s="4">
        <v>45408</v>
      </c>
      <c r="C30" s="5" t="s">
        <v>4</v>
      </c>
      <c r="D30" s="95" t="s">
        <v>34</v>
      </c>
      <c r="E30" s="96"/>
      <c r="F30" s="22"/>
      <c r="G30" s="22">
        <v>800</v>
      </c>
      <c r="I30" s="9" t="s">
        <v>23</v>
      </c>
      <c r="J30" s="11"/>
      <c r="K30" s="25">
        <v>800</v>
      </c>
      <c r="L30" s="21"/>
      <c r="M30" s="26"/>
      <c r="N30" s="27">
        <f t="shared" si="0"/>
        <v>800</v>
      </c>
    </row>
    <row r="31" spans="1:14" x14ac:dyDescent="0.4">
      <c r="A31" s="3" t="s">
        <v>38</v>
      </c>
      <c r="B31" s="4">
        <v>45408</v>
      </c>
      <c r="C31" s="5" t="s">
        <v>4</v>
      </c>
      <c r="D31" s="95" t="s">
        <v>35</v>
      </c>
      <c r="E31" s="96"/>
      <c r="F31" s="22"/>
      <c r="G31" s="22">
        <v>1020</v>
      </c>
      <c r="I31" s="9" t="s">
        <v>23</v>
      </c>
      <c r="J31" s="11"/>
      <c r="K31" s="25">
        <v>1020</v>
      </c>
      <c r="L31" s="21"/>
      <c r="M31" s="26"/>
      <c r="N31" s="27">
        <f t="shared" si="0"/>
        <v>1020</v>
      </c>
    </row>
    <row r="32" spans="1:14" x14ac:dyDescent="0.4">
      <c r="A32" s="3" t="s">
        <v>38</v>
      </c>
      <c r="B32" s="4">
        <v>45408</v>
      </c>
      <c r="C32" s="5" t="s">
        <v>4</v>
      </c>
      <c r="D32" s="95" t="s">
        <v>36</v>
      </c>
      <c r="E32" s="96"/>
      <c r="F32" s="22"/>
      <c r="G32" s="22">
        <v>1020</v>
      </c>
      <c r="I32" s="9" t="s">
        <v>23</v>
      </c>
      <c r="J32" s="11"/>
      <c r="K32" s="25">
        <v>1020</v>
      </c>
      <c r="L32" s="21"/>
      <c r="M32" s="26"/>
      <c r="N32" s="27">
        <f t="shared" si="0"/>
        <v>1020</v>
      </c>
    </row>
    <row r="33" spans="1:15" x14ac:dyDescent="0.4">
      <c r="A33" s="3" t="s">
        <v>38</v>
      </c>
      <c r="B33" s="4">
        <v>45408</v>
      </c>
      <c r="C33" s="5" t="s">
        <v>4</v>
      </c>
      <c r="D33" s="95" t="s">
        <v>34</v>
      </c>
      <c r="E33" s="96"/>
      <c r="F33" s="22"/>
      <c r="G33" s="22">
        <v>800</v>
      </c>
      <c r="I33" s="9" t="s">
        <v>23</v>
      </c>
      <c r="J33" s="11"/>
      <c r="K33" s="25">
        <v>800</v>
      </c>
      <c r="L33" s="21"/>
      <c r="M33" s="26"/>
      <c r="N33" s="27">
        <f t="shared" si="0"/>
        <v>800</v>
      </c>
    </row>
    <row r="34" spans="1:15" x14ac:dyDescent="0.4">
      <c r="A34" s="3" t="s">
        <v>38</v>
      </c>
      <c r="B34" s="4">
        <v>45408</v>
      </c>
      <c r="C34" s="5" t="s">
        <v>4</v>
      </c>
      <c r="D34" s="95" t="s">
        <v>37</v>
      </c>
      <c r="E34" s="96"/>
      <c r="F34" s="22"/>
      <c r="G34" s="22">
        <v>560</v>
      </c>
      <c r="I34" s="9" t="s">
        <v>23</v>
      </c>
      <c r="J34" s="11"/>
      <c r="K34" s="25">
        <v>560</v>
      </c>
      <c r="L34" s="21"/>
      <c r="M34" s="26"/>
      <c r="N34" s="27">
        <f t="shared" si="0"/>
        <v>560</v>
      </c>
    </row>
    <row r="35" spans="1:15" x14ac:dyDescent="0.4">
      <c r="A35" s="3" t="s">
        <v>43</v>
      </c>
      <c r="B35" s="4">
        <v>45353</v>
      </c>
      <c r="C35" s="5" t="s">
        <v>4</v>
      </c>
      <c r="D35" s="95" t="s">
        <v>15</v>
      </c>
      <c r="E35" s="96"/>
      <c r="F35" s="20"/>
      <c r="G35" s="21">
        <v>2480</v>
      </c>
      <c r="H35" s="1"/>
      <c r="I35" s="9" t="s">
        <v>23</v>
      </c>
      <c r="J35" s="11"/>
      <c r="K35" s="25">
        <v>2480</v>
      </c>
      <c r="L35" s="21"/>
      <c r="M35" s="26"/>
      <c r="N35" s="27">
        <f t="shared" si="0"/>
        <v>2480</v>
      </c>
      <c r="O35" s="28"/>
    </row>
    <row r="36" spans="1:15" x14ac:dyDescent="0.4">
      <c r="A36" s="3" t="s">
        <v>39</v>
      </c>
      <c r="B36" s="4">
        <v>45353</v>
      </c>
      <c r="C36" s="5" t="s">
        <v>4</v>
      </c>
      <c r="D36" s="95" t="s">
        <v>15</v>
      </c>
      <c r="E36" s="96"/>
      <c r="F36" s="22"/>
      <c r="G36" s="22">
        <v>1940</v>
      </c>
      <c r="I36" s="9" t="s">
        <v>23</v>
      </c>
      <c r="J36" s="11"/>
      <c r="K36" s="25">
        <v>1940</v>
      </c>
      <c r="L36" s="21"/>
      <c r="M36" s="26"/>
      <c r="N36" s="27">
        <f t="shared" si="0"/>
        <v>1940</v>
      </c>
      <c r="O36" s="28"/>
    </row>
    <row r="37" spans="1:15" x14ac:dyDescent="0.4">
      <c r="A37" s="3" t="s">
        <v>39</v>
      </c>
      <c r="B37" s="4">
        <v>45355</v>
      </c>
      <c r="C37" s="5" t="s">
        <v>4</v>
      </c>
      <c r="D37" s="95" t="s">
        <v>15</v>
      </c>
      <c r="E37" s="96"/>
      <c r="F37" s="22"/>
      <c r="G37" s="22">
        <v>1940</v>
      </c>
      <c r="I37" s="9" t="s">
        <v>23</v>
      </c>
      <c r="J37" s="11"/>
      <c r="K37" s="25">
        <v>1940</v>
      </c>
      <c r="L37" s="21"/>
      <c r="M37" s="26"/>
      <c r="N37" s="27">
        <f t="shared" si="0"/>
        <v>1940</v>
      </c>
      <c r="O37" s="28"/>
    </row>
    <row r="38" spans="1:15" x14ac:dyDescent="0.4">
      <c r="A38" s="3" t="s">
        <v>39</v>
      </c>
      <c r="B38" s="4">
        <v>45355</v>
      </c>
      <c r="C38" s="5" t="s">
        <v>4</v>
      </c>
      <c r="D38" s="95" t="s">
        <v>15</v>
      </c>
      <c r="E38" s="96"/>
      <c r="F38" s="22"/>
      <c r="G38" s="22">
        <v>3080</v>
      </c>
      <c r="I38" s="9" t="s">
        <v>23</v>
      </c>
      <c r="J38" s="11"/>
      <c r="K38" s="25">
        <v>3080</v>
      </c>
      <c r="L38" s="21"/>
      <c r="M38" s="26"/>
      <c r="N38" s="27">
        <f t="shared" si="0"/>
        <v>3080</v>
      </c>
      <c r="O38" s="28"/>
    </row>
    <row r="39" spans="1:15" x14ac:dyDescent="0.4">
      <c r="A39" s="3" t="s">
        <v>39</v>
      </c>
      <c r="B39" s="4">
        <v>45359</v>
      </c>
      <c r="C39" s="5" t="s">
        <v>4</v>
      </c>
      <c r="D39" s="95" t="s">
        <v>15</v>
      </c>
      <c r="E39" s="96"/>
      <c r="F39" s="22"/>
      <c r="G39" s="22">
        <v>3080</v>
      </c>
      <c r="I39" s="9" t="s">
        <v>23</v>
      </c>
      <c r="J39" s="11"/>
      <c r="K39" s="25">
        <v>3080</v>
      </c>
      <c r="L39" s="21"/>
      <c r="M39" s="26"/>
      <c r="N39" s="27">
        <f t="shared" si="0"/>
        <v>3080</v>
      </c>
      <c r="O39" s="28"/>
    </row>
    <row r="40" spans="1:15" x14ac:dyDescent="0.4">
      <c r="A40" s="3" t="s">
        <v>39</v>
      </c>
      <c r="B40" s="4">
        <v>45359</v>
      </c>
      <c r="C40" s="5" t="s">
        <v>4</v>
      </c>
      <c r="D40" s="95" t="s">
        <v>15</v>
      </c>
      <c r="E40" s="96"/>
      <c r="F40" s="22"/>
      <c r="G40" s="22">
        <v>1940</v>
      </c>
      <c r="I40" s="9" t="s">
        <v>23</v>
      </c>
      <c r="J40" s="11"/>
      <c r="K40" s="25">
        <v>1940</v>
      </c>
      <c r="L40" s="21"/>
      <c r="M40" s="26"/>
      <c r="N40" s="27">
        <f t="shared" si="0"/>
        <v>1940</v>
      </c>
      <c r="O40" s="28"/>
    </row>
    <row r="41" spans="1:15" x14ac:dyDescent="0.4">
      <c r="A41" s="3" t="s">
        <v>39</v>
      </c>
      <c r="B41" s="4">
        <v>45362</v>
      </c>
      <c r="C41" s="5" t="s">
        <v>4</v>
      </c>
      <c r="D41" s="95" t="s">
        <v>15</v>
      </c>
      <c r="E41" s="96"/>
      <c r="F41" s="22"/>
      <c r="G41" s="22">
        <v>1940</v>
      </c>
      <c r="I41" s="9" t="s">
        <v>23</v>
      </c>
      <c r="J41" s="11"/>
      <c r="K41" s="25">
        <v>1940</v>
      </c>
      <c r="L41" s="21"/>
      <c r="M41" s="26"/>
      <c r="N41" s="27">
        <f t="shared" si="0"/>
        <v>1940</v>
      </c>
      <c r="O41" s="28"/>
    </row>
    <row r="42" spans="1:15" x14ac:dyDescent="0.4">
      <c r="A42" s="3" t="s">
        <v>39</v>
      </c>
      <c r="B42" s="4">
        <v>45362</v>
      </c>
      <c r="C42" s="5" t="s">
        <v>4</v>
      </c>
      <c r="D42" s="95" t="s">
        <v>15</v>
      </c>
      <c r="E42" s="96"/>
      <c r="F42" s="22"/>
      <c r="G42" s="22">
        <v>3080</v>
      </c>
      <c r="I42" s="9" t="s">
        <v>23</v>
      </c>
      <c r="J42" s="11"/>
      <c r="K42" s="25">
        <v>3080</v>
      </c>
      <c r="L42" s="21"/>
      <c r="M42" s="26"/>
      <c r="N42" s="27">
        <f t="shared" si="0"/>
        <v>3080</v>
      </c>
      <c r="O42" s="28"/>
    </row>
    <row r="43" spans="1:15" x14ac:dyDescent="0.4">
      <c r="A43" s="3" t="s">
        <v>39</v>
      </c>
      <c r="B43" s="4">
        <v>45365</v>
      </c>
      <c r="C43" s="5" t="s">
        <v>4</v>
      </c>
      <c r="D43" s="95" t="s">
        <v>15</v>
      </c>
      <c r="E43" s="96"/>
      <c r="F43" s="22"/>
      <c r="G43" s="22">
        <v>3080</v>
      </c>
      <c r="I43" s="9" t="s">
        <v>23</v>
      </c>
      <c r="J43" s="11"/>
      <c r="K43" s="25">
        <v>3080</v>
      </c>
      <c r="L43" s="21"/>
      <c r="M43" s="26"/>
      <c r="N43" s="27">
        <f t="shared" si="0"/>
        <v>3080</v>
      </c>
      <c r="O43" s="28"/>
    </row>
    <row r="44" spans="1:15" x14ac:dyDescent="0.4">
      <c r="A44" s="3" t="s">
        <v>39</v>
      </c>
      <c r="B44" s="4">
        <v>45365</v>
      </c>
      <c r="C44" s="5" t="s">
        <v>4</v>
      </c>
      <c r="D44" s="95" t="s">
        <v>15</v>
      </c>
      <c r="E44" s="96"/>
      <c r="F44" s="22"/>
      <c r="G44" s="22">
        <v>1470</v>
      </c>
      <c r="I44" s="9" t="s">
        <v>23</v>
      </c>
      <c r="J44" s="11"/>
      <c r="K44" s="25">
        <v>1470</v>
      </c>
      <c r="L44" s="21"/>
      <c r="M44" s="26"/>
      <c r="N44" s="27">
        <f t="shared" si="0"/>
        <v>1470</v>
      </c>
      <c r="O44" s="28"/>
    </row>
    <row r="45" spans="1:15" x14ac:dyDescent="0.4">
      <c r="A45" s="3" t="s">
        <v>39</v>
      </c>
      <c r="B45" s="4">
        <v>45370</v>
      </c>
      <c r="C45" s="5" t="s">
        <v>4</v>
      </c>
      <c r="D45" s="95" t="s">
        <v>15</v>
      </c>
      <c r="E45" s="96"/>
      <c r="F45" s="22"/>
      <c r="G45" s="22">
        <v>1940</v>
      </c>
      <c r="I45" s="9" t="s">
        <v>23</v>
      </c>
      <c r="J45" s="11"/>
      <c r="K45" s="25">
        <v>1940</v>
      </c>
      <c r="L45" s="21"/>
      <c r="M45" s="29"/>
      <c r="N45" s="27">
        <f t="shared" si="0"/>
        <v>1940</v>
      </c>
      <c r="O45" s="28"/>
    </row>
    <row r="46" spans="1:15" x14ac:dyDescent="0.4">
      <c r="A46" s="3" t="s">
        <v>39</v>
      </c>
      <c r="B46" s="4">
        <v>45370</v>
      </c>
      <c r="C46" s="5" t="s">
        <v>4</v>
      </c>
      <c r="D46" s="95" t="s">
        <v>15</v>
      </c>
      <c r="E46" s="96"/>
      <c r="F46" s="22"/>
      <c r="G46" s="22">
        <v>3080</v>
      </c>
      <c r="I46" s="9" t="s">
        <v>23</v>
      </c>
      <c r="J46" s="11"/>
      <c r="K46" s="25">
        <v>3080</v>
      </c>
      <c r="L46" s="21"/>
      <c r="M46" s="26"/>
      <c r="N46" s="27">
        <f t="shared" si="0"/>
        <v>3080</v>
      </c>
      <c r="O46" s="28"/>
    </row>
    <row r="47" spans="1:15" x14ac:dyDescent="0.4">
      <c r="A47" s="3" t="s">
        <v>39</v>
      </c>
      <c r="B47" s="4">
        <v>45370</v>
      </c>
      <c r="C47" s="5" t="s">
        <v>4</v>
      </c>
      <c r="D47" s="95" t="s">
        <v>14</v>
      </c>
      <c r="E47" s="96"/>
      <c r="F47" s="22"/>
      <c r="G47" s="22">
        <v>941</v>
      </c>
      <c r="I47" s="9" t="s">
        <v>23</v>
      </c>
      <c r="J47" s="11"/>
      <c r="K47" s="25"/>
      <c r="L47" s="21">
        <v>941</v>
      </c>
      <c r="M47" s="26"/>
      <c r="N47" s="27">
        <f t="shared" si="0"/>
        <v>941</v>
      </c>
      <c r="O47" s="28"/>
    </row>
    <row r="48" spans="1:15" x14ac:dyDescent="0.4">
      <c r="A48" s="3" t="s">
        <v>39</v>
      </c>
      <c r="B48" s="4">
        <v>45371</v>
      </c>
      <c r="C48" s="5" t="s">
        <v>4</v>
      </c>
      <c r="D48" s="95" t="s">
        <v>14</v>
      </c>
      <c r="E48" s="96"/>
      <c r="F48" s="22"/>
      <c r="G48" s="22">
        <v>937</v>
      </c>
      <c r="I48" s="9" t="s">
        <v>23</v>
      </c>
      <c r="J48" s="11"/>
      <c r="K48" s="25"/>
      <c r="L48" s="21">
        <v>937</v>
      </c>
      <c r="M48" s="26"/>
      <c r="N48" s="27">
        <f t="shared" si="0"/>
        <v>937</v>
      </c>
      <c r="O48" s="28"/>
    </row>
    <row r="49" spans="1:15" x14ac:dyDescent="0.4">
      <c r="A49" s="3" t="s">
        <v>39</v>
      </c>
      <c r="B49" s="4">
        <v>45372</v>
      </c>
      <c r="C49" s="5" t="s">
        <v>40</v>
      </c>
      <c r="D49" s="95" t="s">
        <v>44</v>
      </c>
      <c r="E49" s="96"/>
      <c r="F49" s="22"/>
      <c r="G49" s="22">
        <v>2384</v>
      </c>
      <c r="I49" s="9" t="s">
        <v>23</v>
      </c>
      <c r="J49" s="11"/>
      <c r="K49" s="25">
        <v>2384</v>
      </c>
      <c r="L49" s="21"/>
      <c r="M49" s="26"/>
      <c r="N49" s="27">
        <f t="shared" si="0"/>
        <v>2384</v>
      </c>
      <c r="O49" s="28"/>
    </row>
    <row r="50" spans="1:15" x14ac:dyDescent="0.4">
      <c r="A50" s="3" t="s">
        <v>39</v>
      </c>
      <c r="B50" s="4">
        <v>45372</v>
      </c>
      <c r="C50" s="5" t="s">
        <v>4</v>
      </c>
      <c r="D50" s="95" t="s">
        <v>14</v>
      </c>
      <c r="E50" s="96"/>
      <c r="F50" s="22"/>
      <c r="G50" s="22">
        <v>965</v>
      </c>
      <c r="I50" s="9" t="s">
        <v>23</v>
      </c>
      <c r="J50" s="11"/>
      <c r="K50" s="25"/>
      <c r="L50" s="21">
        <v>965</v>
      </c>
      <c r="M50" s="26"/>
      <c r="N50" s="27">
        <f t="shared" si="0"/>
        <v>965</v>
      </c>
      <c r="O50" s="28"/>
    </row>
    <row r="51" spans="1:15" x14ac:dyDescent="0.4">
      <c r="A51" s="3" t="s">
        <v>39</v>
      </c>
      <c r="B51" s="4">
        <v>45373</v>
      </c>
      <c r="C51" s="5" t="s">
        <v>4</v>
      </c>
      <c r="D51" s="95" t="s">
        <v>15</v>
      </c>
      <c r="E51" s="96"/>
      <c r="F51" s="22"/>
      <c r="G51" s="22">
        <v>3080</v>
      </c>
      <c r="I51" s="9" t="s">
        <v>23</v>
      </c>
      <c r="J51" s="11"/>
      <c r="K51" s="22">
        <v>3080</v>
      </c>
      <c r="L51" s="21"/>
      <c r="M51" s="26"/>
      <c r="N51" s="27">
        <f t="shared" si="0"/>
        <v>3080</v>
      </c>
      <c r="O51" s="28"/>
    </row>
    <row r="52" spans="1:15" x14ac:dyDescent="0.4">
      <c r="A52" s="3" t="s">
        <v>39</v>
      </c>
      <c r="B52" s="4">
        <v>45373</v>
      </c>
      <c r="C52" s="5" t="s">
        <v>4</v>
      </c>
      <c r="D52" s="95" t="s">
        <v>15</v>
      </c>
      <c r="E52" s="96"/>
      <c r="F52" s="22"/>
      <c r="G52" s="22">
        <v>1940</v>
      </c>
      <c r="I52" s="9" t="s">
        <v>23</v>
      </c>
      <c r="J52" s="11"/>
      <c r="K52" s="22">
        <v>1940</v>
      </c>
      <c r="L52" s="21"/>
      <c r="M52" s="26"/>
      <c r="N52" s="27">
        <f t="shared" si="0"/>
        <v>1940</v>
      </c>
      <c r="O52" s="28"/>
    </row>
    <row r="53" spans="1:15" x14ac:dyDescent="0.4">
      <c r="A53" s="3" t="s">
        <v>39</v>
      </c>
      <c r="B53" s="4">
        <v>45376</v>
      </c>
      <c r="C53" s="5" t="s">
        <v>4</v>
      </c>
      <c r="D53" s="95" t="s">
        <v>15</v>
      </c>
      <c r="E53" s="96"/>
      <c r="F53" s="22"/>
      <c r="G53" s="22">
        <v>1850</v>
      </c>
      <c r="I53" s="9" t="s">
        <v>23</v>
      </c>
      <c r="J53" s="11"/>
      <c r="K53" s="22">
        <v>1850</v>
      </c>
      <c r="L53" s="21"/>
      <c r="M53" s="26"/>
      <c r="N53" s="27">
        <f t="shared" si="0"/>
        <v>1850</v>
      </c>
      <c r="O53" s="28"/>
    </row>
    <row r="54" spans="1:15" x14ac:dyDescent="0.4">
      <c r="A54" s="3" t="s">
        <v>39</v>
      </c>
      <c r="B54" s="4">
        <v>45376</v>
      </c>
      <c r="C54" s="5" t="s">
        <v>4</v>
      </c>
      <c r="D54" s="95" t="s">
        <v>15</v>
      </c>
      <c r="E54" s="96"/>
      <c r="F54" s="22"/>
      <c r="G54" s="22">
        <v>3080</v>
      </c>
      <c r="I54" s="9" t="s">
        <v>23</v>
      </c>
      <c r="J54" s="11"/>
      <c r="K54" s="22">
        <v>3080</v>
      </c>
      <c r="L54" s="21"/>
      <c r="M54" s="26"/>
      <c r="N54" s="27">
        <f t="shared" si="0"/>
        <v>3080</v>
      </c>
      <c r="O54" s="28"/>
    </row>
    <row r="55" spans="1:15" x14ac:dyDescent="0.4">
      <c r="A55" s="3" t="s">
        <v>39</v>
      </c>
      <c r="B55" s="4">
        <v>45376</v>
      </c>
      <c r="C55" s="5" t="s">
        <v>4</v>
      </c>
      <c r="D55" s="95" t="s">
        <v>41</v>
      </c>
      <c r="E55" s="96"/>
      <c r="F55" s="22"/>
      <c r="G55" s="22">
        <v>5177</v>
      </c>
      <c r="I55" s="9" t="s">
        <v>23</v>
      </c>
      <c r="J55" s="11"/>
      <c r="K55" s="25">
        <v>5177</v>
      </c>
      <c r="L55" s="21"/>
      <c r="M55" s="26"/>
      <c r="N55" s="27">
        <f t="shared" si="0"/>
        <v>5177</v>
      </c>
      <c r="O55" s="28"/>
    </row>
    <row r="56" spans="1:15" x14ac:dyDescent="0.4">
      <c r="A56" s="3" t="s">
        <v>39</v>
      </c>
      <c r="B56" s="4">
        <v>45376</v>
      </c>
      <c r="C56" s="5" t="s">
        <v>40</v>
      </c>
      <c r="D56" s="95" t="s">
        <v>44</v>
      </c>
      <c r="E56" s="96"/>
      <c r="F56" s="22"/>
      <c r="G56" s="22">
        <v>6743</v>
      </c>
      <c r="I56" s="9" t="s">
        <v>23</v>
      </c>
      <c r="J56" s="11"/>
      <c r="K56" s="25">
        <v>6743</v>
      </c>
      <c r="L56" s="21"/>
      <c r="M56" s="26"/>
      <c r="N56" s="27">
        <f t="shared" si="0"/>
        <v>6743</v>
      </c>
      <c r="O56" s="28"/>
    </row>
    <row r="57" spans="1:15" x14ac:dyDescent="0.4">
      <c r="A57" s="3" t="s">
        <v>39</v>
      </c>
      <c r="B57" s="4">
        <v>45376</v>
      </c>
      <c r="C57" s="5" t="s">
        <v>42</v>
      </c>
      <c r="D57" s="95" t="s">
        <v>45</v>
      </c>
      <c r="E57" s="96"/>
      <c r="F57" s="22"/>
      <c r="G57" s="22">
        <v>2084</v>
      </c>
      <c r="I57" s="9" t="s">
        <v>23</v>
      </c>
      <c r="J57" s="11"/>
      <c r="K57" s="25">
        <v>2084</v>
      </c>
      <c r="L57" s="21"/>
      <c r="M57" s="26"/>
      <c r="N57" s="27">
        <f t="shared" si="0"/>
        <v>2084</v>
      </c>
      <c r="O57" s="28"/>
    </row>
    <row r="58" spans="1:15" x14ac:dyDescent="0.4">
      <c r="A58" s="3" t="s">
        <v>39</v>
      </c>
      <c r="B58" s="4">
        <v>45376</v>
      </c>
      <c r="C58" s="5" t="s">
        <v>4</v>
      </c>
      <c r="D58" s="95" t="s">
        <v>14</v>
      </c>
      <c r="E58" s="96"/>
      <c r="F58" s="22"/>
      <c r="G58" s="22">
        <v>906</v>
      </c>
      <c r="I58" s="9" t="s">
        <v>23</v>
      </c>
      <c r="J58" s="11"/>
      <c r="K58" s="25">
        <v>906</v>
      </c>
      <c r="L58" s="21"/>
      <c r="M58" s="26"/>
      <c r="N58" s="27">
        <f t="shared" si="0"/>
        <v>906</v>
      </c>
      <c r="O58" s="28"/>
    </row>
    <row r="59" spans="1:15" x14ac:dyDescent="0.4">
      <c r="A59" s="3" t="s">
        <v>39</v>
      </c>
      <c r="B59" s="4">
        <v>45377</v>
      </c>
      <c r="C59" s="5" t="s">
        <v>4</v>
      </c>
      <c r="D59" s="95" t="s">
        <v>14</v>
      </c>
      <c r="E59" s="96"/>
      <c r="F59" s="22"/>
      <c r="G59" s="22">
        <v>957</v>
      </c>
      <c r="I59" s="9" t="s">
        <v>23</v>
      </c>
      <c r="J59" s="11"/>
      <c r="K59" s="25">
        <v>957</v>
      </c>
      <c r="L59" s="21"/>
      <c r="M59" s="26"/>
      <c r="N59" s="27">
        <f t="shared" si="0"/>
        <v>957</v>
      </c>
      <c r="O59" s="28"/>
    </row>
    <row r="60" spans="1:15" x14ac:dyDescent="0.4">
      <c r="A60" s="3" t="s">
        <v>39</v>
      </c>
      <c r="B60" s="4">
        <v>45378</v>
      </c>
      <c r="C60" s="5" t="s">
        <v>40</v>
      </c>
      <c r="D60" s="95" t="s">
        <v>44</v>
      </c>
      <c r="E60" s="96"/>
      <c r="F60" s="22"/>
      <c r="G60" s="22">
        <v>2364</v>
      </c>
      <c r="I60" s="9" t="s">
        <v>23</v>
      </c>
      <c r="J60" s="11"/>
      <c r="K60" s="25">
        <v>2364</v>
      </c>
      <c r="L60" s="21"/>
      <c r="M60" s="26"/>
      <c r="N60" s="27">
        <f t="shared" si="0"/>
        <v>2364</v>
      </c>
      <c r="O60" s="28"/>
    </row>
    <row r="61" spans="1:15" x14ac:dyDescent="0.4">
      <c r="A61" s="3" t="s">
        <v>39</v>
      </c>
      <c r="B61" s="4">
        <v>45378</v>
      </c>
      <c r="C61" s="5" t="s">
        <v>40</v>
      </c>
      <c r="D61" s="95" t="s">
        <v>44</v>
      </c>
      <c r="E61" s="96"/>
      <c r="F61" s="22"/>
      <c r="G61" s="22">
        <v>3576</v>
      </c>
      <c r="I61" s="9" t="s">
        <v>23</v>
      </c>
      <c r="J61" s="11"/>
      <c r="K61" s="25">
        <v>3576</v>
      </c>
      <c r="L61" s="21"/>
      <c r="M61" s="26"/>
      <c r="N61" s="27">
        <f t="shared" si="0"/>
        <v>3576</v>
      </c>
      <c r="O61" s="28"/>
    </row>
    <row r="62" spans="1:15" x14ac:dyDescent="0.4">
      <c r="A62" s="3" t="s">
        <v>39</v>
      </c>
      <c r="B62" s="4">
        <v>45378</v>
      </c>
      <c r="C62" s="5" t="s">
        <v>4</v>
      </c>
      <c r="D62" s="95" t="s">
        <v>14</v>
      </c>
      <c r="E62" s="96"/>
      <c r="F62" s="22"/>
      <c r="G62" s="22">
        <v>883</v>
      </c>
      <c r="I62" s="9" t="s">
        <v>23</v>
      </c>
      <c r="J62" s="11"/>
      <c r="K62" s="25"/>
      <c r="L62" s="21">
        <v>883</v>
      </c>
      <c r="M62" s="26"/>
      <c r="N62" s="27">
        <f t="shared" si="0"/>
        <v>883</v>
      </c>
      <c r="O62" s="28"/>
    </row>
    <row r="63" spans="1:15" x14ac:dyDescent="0.4">
      <c r="A63" s="3" t="s">
        <v>39</v>
      </c>
      <c r="B63" s="4">
        <v>45379</v>
      </c>
      <c r="C63" s="5" t="s">
        <v>4</v>
      </c>
      <c r="D63" s="95" t="s">
        <v>14</v>
      </c>
      <c r="E63" s="96"/>
      <c r="F63" s="22"/>
      <c r="G63" s="22">
        <v>927</v>
      </c>
      <c r="I63" s="9" t="s">
        <v>23</v>
      </c>
      <c r="J63" s="11"/>
      <c r="K63" s="25"/>
      <c r="L63" s="21">
        <v>927</v>
      </c>
      <c r="M63" s="26"/>
      <c r="N63" s="27">
        <f t="shared" si="0"/>
        <v>927</v>
      </c>
      <c r="O63" s="28"/>
    </row>
    <row r="64" spans="1:15" x14ac:dyDescent="0.4">
      <c r="A64" s="3" t="s">
        <v>39</v>
      </c>
      <c r="B64" s="4">
        <v>45380</v>
      </c>
      <c r="C64" s="5" t="s">
        <v>4</v>
      </c>
      <c r="D64" s="95" t="s">
        <v>14</v>
      </c>
      <c r="E64" s="96"/>
      <c r="F64" s="22"/>
      <c r="G64" s="22">
        <v>994</v>
      </c>
      <c r="I64" s="9" t="s">
        <v>23</v>
      </c>
      <c r="J64" s="11"/>
      <c r="K64" s="25"/>
      <c r="L64" s="21">
        <v>994</v>
      </c>
      <c r="M64" s="26"/>
      <c r="N64" s="27">
        <f t="shared" si="0"/>
        <v>994</v>
      </c>
      <c r="O64" s="28"/>
    </row>
    <row r="65" spans="1:15" x14ac:dyDescent="0.4">
      <c r="A65" s="3" t="s">
        <v>39</v>
      </c>
      <c r="B65" s="4">
        <v>45381</v>
      </c>
      <c r="C65" s="5" t="s">
        <v>4</v>
      </c>
      <c r="D65" s="95" t="s">
        <v>15</v>
      </c>
      <c r="E65" s="96"/>
      <c r="F65" s="22"/>
      <c r="G65" s="22">
        <v>2480</v>
      </c>
      <c r="I65" s="9" t="s">
        <v>23</v>
      </c>
      <c r="J65" s="11"/>
      <c r="K65" s="22">
        <v>2480</v>
      </c>
      <c r="L65" s="21"/>
      <c r="M65" s="26"/>
      <c r="N65" s="27">
        <f t="shared" si="0"/>
        <v>2480</v>
      </c>
      <c r="O65" s="28"/>
    </row>
    <row r="66" spans="1:15" x14ac:dyDescent="0.4">
      <c r="A66" s="3" t="s">
        <v>39</v>
      </c>
      <c r="B66" s="4">
        <v>45381</v>
      </c>
      <c r="C66" s="5" t="s">
        <v>4</v>
      </c>
      <c r="D66" s="95" t="s">
        <v>15</v>
      </c>
      <c r="E66" s="96"/>
      <c r="F66" s="22"/>
      <c r="G66" s="22">
        <v>1940</v>
      </c>
      <c r="I66" s="9" t="s">
        <v>23</v>
      </c>
      <c r="J66" s="11"/>
      <c r="K66" s="22">
        <v>1940</v>
      </c>
      <c r="L66" s="21"/>
      <c r="M66" s="26"/>
      <c r="N66" s="27">
        <f t="shared" si="0"/>
        <v>1940</v>
      </c>
      <c r="O66" s="28"/>
    </row>
    <row r="67" spans="1:15" x14ac:dyDescent="0.4">
      <c r="A67" s="3"/>
      <c r="B67" s="4"/>
      <c r="C67" s="5"/>
      <c r="D67" s="95"/>
      <c r="E67" s="96"/>
      <c r="F67" s="20"/>
      <c r="G67" s="21"/>
      <c r="H67" s="1"/>
      <c r="I67" s="9"/>
      <c r="J67" s="11"/>
      <c r="K67" s="25"/>
      <c r="L67" s="21"/>
      <c r="M67" s="26"/>
      <c r="N67" s="27" t="str">
        <f t="shared" si="0"/>
        <v/>
      </c>
    </row>
    <row r="68" spans="1:15" ht="19.5" thickBot="1" x14ac:dyDescent="0.45">
      <c r="A68" s="3"/>
      <c r="B68" s="4"/>
      <c r="C68" s="5"/>
      <c r="D68" s="95"/>
      <c r="E68" s="96"/>
      <c r="F68" s="22"/>
      <c r="G68" s="22"/>
      <c r="I68" s="9"/>
      <c r="J68" s="11"/>
      <c r="K68" s="25"/>
      <c r="L68" s="21"/>
      <c r="M68" s="26"/>
      <c r="N68" s="27" t="str">
        <f t="shared" ref="N68" si="1">IF(K68+L68+M68=0,"",K68+L68+M68)</f>
        <v/>
      </c>
    </row>
    <row r="69" spans="1:15" ht="19.5" thickTop="1" x14ac:dyDescent="0.4">
      <c r="A69" s="2"/>
      <c r="B69" s="2"/>
      <c r="C69" s="2"/>
      <c r="D69" s="39"/>
      <c r="E69" s="43" t="s">
        <v>13</v>
      </c>
      <c r="F69" s="40"/>
      <c r="G69" s="41">
        <f>SUM(G2:G68)</f>
        <v>212613</v>
      </c>
      <c r="I69" s="2"/>
      <c r="K69" s="34">
        <f>SUM(K2:K68)</f>
        <v>190671</v>
      </c>
      <c r="L69" s="24">
        <f>SUM(L2:L68)</f>
        <v>18979</v>
      </c>
      <c r="M69" s="35">
        <f>SUM(M2:M68)</f>
        <v>2963</v>
      </c>
      <c r="N69" s="36">
        <f>SUM(N2:N68)</f>
        <v>212613</v>
      </c>
    </row>
  </sheetData>
  <sheetProtection formatColumns="0" pivotTables="0"/>
  <mergeCells count="67">
    <mergeCell ref="D64:E64"/>
    <mergeCell ref="D65:E65"/>
    <mergeCell ref="D66:E66"/>
    <mergeCell ref="D59:E59"/>
    <mergeCell ref="D60:E60"/>
    <mergeCell ref="D61:E61"/>
    <mergeCell ref="D62:E62"/>
    <mergeCell ref="D63:E63"/>
    <mergeCell ref="D54:E54"/>
    <mergeCell ref="D55:E55"/>
    <mergeCell ref="D56:E56"/>
    <mergeCell ref="D57:E57"/>
    <mergeCell ref="D58:E58"/>
    <mergeCell ref="D49:E49"/>
    <mergeCell ref="D50:E50"/>
    <mergeCell ref="D51:E51"/>
    <mergeCell ref="D52:E52"/>
    <mergeCell ref="D53:E53"/>
    <mergeCell ref="D68:E68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67:E67"/>
    <mergeCell ref="D30:E30"/>
    <mergeCell ref="D31:E31"/>
    <mergeCell ref="D32:E32"/>
    <mergeCell ref="D33:E33"/>
    <mergeCell ref="D34:E34"/>
    <mergeCell ref="D25:E25"/>
    <mergeCell ref="D26:E26"/>
    <mergeCell ref="D27:E27"/>
    <mergeCell ref="D28:E28"/>
    <mergeCell ref="D29:E29"/>
    <mergeCell ref="D20:E20"/>
    <mergeCell ref="D21:E21"/>
    <mergeCell ref="D22:E22"/>
    <mergeCell ref="D23:E23"/>
    <mergeCell ref="D24:E24"/>
    <mergeCell ref="D15:E15"/>
    <mergeCell ref="D16:E16"/>
    <mergeCell ref="D17:E17"/>
    <mergeCell ref="D18:E18"/>
    <mergeCell ref="D19:E19"/>
    <mergeCell ref="D2:E2"/>
    <mergeCell ref="D3:E3"/>
    <mergeCell ref="D4:E4"/>
    <mergeCell ref="D5:E5"/>
    <mergeCell ref="D6:E6"/>
    <mergeCell ref="D12:E12"/>
    <mergeCell ref="D13:E13"/>
    <mergeCell ref="D14:E14"/>
    <mergeCell ref="D7:E7"/>
    <mergeCell ref="D8:E8"/>
    <mergeCell ref="D9:E9"/>
    <mergeCell ref="D10:E10"/>
    <mergeCell ref="D11:E11"/>
  </mergeCells>
  <phoneticPr fontId="2"/>
  <dataValidations count="3">
    <dataValidation allowBlank="1" showInputMessage="1" showErrorMessage="1" promptTitle="西暦入力" prompt="〇〇〇〇/〇〇/〇〇で入力ください。" sqref="B2:B68" xr:uid="{10486C52-FCCF-4A5A-B60F-AEE234D7E487}"/>
    <dataValidation type="list" allowBlank="1" showInputMessage="1" showErrorMessage="1" sqref="I2:J68" xr:uid="{AB953261-D660-4E0E-8A8B-87C35FBFDE55}">
      <formula1>"有,無,不要"</formula1>
    </dataValidation>
    <dataValidation type="list" allowBlank="1" showInputMessage="1" showErrorMessage="1" sqref="C2:C68" xr:uid="{F1A4C289-D305-4C1C-A3F4-88B41050F066}">
      <formula1>"旅費交通費,仕入材料,現場関係費,交際費,厚生費,水道光熱費,通信費,租税公課,事務消耗品費,運賃,消耗品費,諸会費,諸雑費"</formula1>
    </dataValidation>
  </dataValidations>
  <pageMargins left="0.51181102362204722" right="0.11811023622047245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1DA39-79D0-4BFC-822C-CC6FB6AABDC0}">
  <sheetPr>
    <tabColor rgb="FFFF0000"/>
  </sheetPr>
  <dimension ref="A1:R239"/>
  <sheetViews>
    <sheetView topLeftCell="A169" zoomScaleNormal="100" workbookViewId="0">
      <selection activeCell="K237" sqref="K237"/>
    </sheetView>
  </sheetViews>
  <sheetFormatPr defaultRowHeight="18.75" outlineLevelCol="1" x14ac:dyDescent="0.4"/>
  <cols>
    <col min="1" max="1" width="6" customWidth="1"/>
    <col min="2" max="2" width="8.875" customWidth="1"/>
    <col min="3" max="3" width="10.5" customWidth="1"/>
    <col min="4" max="4" width="35.125" customWidth="1"/>
    <col min="5" max="5" width="5.5" customWidth="1"/>
    <col min="6" max="7" width="10.625" customWidth="1"/>
    <col min="8" max="8" width="1.5" customWidth="1" outlineLevel="1"/>
    <col min="9" max="9" width="7.25" customWidth="1" outlineLevel="1"/>
    <col min="10" max="10" width="0.875" customWidth="1" outlineLevel="1"/>
    <col min="11" max="13" width="9.25" customWidth="1" outlineLevel="1"/>
    <col min="14" max="14" width="10.25" customWidth="1" outlineLevel="1"/>
    <col min="15" max="15" width="9" customWidth="1" outlineLevel="1"/>
    <col min="16" max="16" width="11.625" bestFit="1" customWidth="1"/>
    <col min="17" max="17" width="15.875" bestFit="1" customWidth="1"/>
    <col min="18" max="18" width="14.625" bestFit="1" customWidth="1"/>
    <col min="19" max="19" width="15.5" bestFit="1" customWidth="1"/>
    <col min="20" max="20" width="11.375" bestFit="1" customWidth="1"/>
  </cols>
  <sheetData>
    <row r="1" spans="1:18" x14ac:dyDescent="0.4">
      <c r="A1" s="12" t="s">
        <v>20</v>
      </c>
      <c r="B1" s="13" t="s">
        <v>7</v>
      </c>
      <c r="C1" s="13" t="s">
        <v>5</v>
      </c>
      <c r="D1" s="42" t="s">
        <v>6</v>
      </c>
      <c r="E1" s="51" t="s">
        <v>16</v>
      </c>
      <c r="F1" s="14" t="s">
        <v>0</v>
      </c>
      <c r="G1" s="13" t="s">
        <v>1</v>
      </c>
      <c r="H1" s="37" t="s">
        <v>11</v>
      </c>
      <c r="I1" s="15" t="s">
        <v>3</v>
      </c>
      <c r="J1" s="38" t="s">
        <v>12</v>
      </c>
      <c r="K1" s="16" t="s">
        <v>8</v>
      </c>
      <c r="L1" s="17" t="s">
        <v>9</v>
      </c>
      <c r="M1" s="18" t="s">
        <v>2</v>
      </c>
      <c r="N1" s="19" t="s">
        <v>10</v>
      </c>
    </row>
    <row r="2" spans="1:18" x14ac:dyDescent="0.4">
      <c r="A2" s="3"/>
      <c r="B2" s="4"/>
      <c r="C2" s="5"/>
      <c r="D2" s="95" t="s">
        <v>96</v>
      </c>
      <c r="E2" s="96"/>
      <c r="F2" s="22"/>
      <c r="G2" s="22"/>
      <c r="I2" s="9"/>
      <c r="J2" s="11"/>
      <c r="K2" s="25"/>
      <c r="L2" s="21"/>
      <c r="M2" s="26"/>
      <c r="N2" s="27" t="str">
        <f>IF(K2+L2+M2=0,"",K2+L2+M2)</f>
        <v/>
      </c>
    </row>
    <row r="3" spans="1:18" x14ac:dyDescent="0.4">
      <c r="A3" s="3" t="s">
        <v>46</v>
      </c>
      <c r="B3" s="4">
        <v>45383</v>
      </c>
      <c r="C3" s="5" t="s">
        <v>4</v>
      </c>
      <c r="D3" s="95" t="s">
        <v>94</v>
      </c>
      <c r="E3" s="96"/>
      <c r="F3" s="20"/>
      <c r="G3" s="21">
        <v>10500</v>
      </c>
      <c r="H3" s="1"/>
      <c r="I3" s="9" t="s">
        <v>23</v>
      </c>
      <c r="J3" s="11"/>
      <c r="K3" s="25"/>
      <c r="L3" s="21">
        <v>10500</v>
      </c>
      <c r="M3" s="26"/>
      <c r="N3" s="27">
        <f t="shared" ref="N3:N34" si="0">IF(K3+L3+M3=0,"",K3+L3+M3)</f>
        <v>10500</v>
      </c>
      <c r="O3" s="28"/>
      <c r="P3" s="69">
        <f t="shared" ref="P3:P35" si="1">ROUNDDOWN($K3/110*10,0)</f>
        <v>0</v>
      </c>
      <c r="Q3" s="70">
        <f t="shared" ref="Q3:Q35" si="2">ROUNDDOWN($L3/108*8,0)</f>
        <v>777</v>
      </c>
      <c r="R3" s="27">
        <f t="shared" ref="R3:R34" si="3">P3+Q3</f>
        <v>777</v>
      </c>
    </row>
    <row r="4" spans="1:18" x14ac:dyDescent="0.4">
      <c r="A4" s="3" t="s">
        <v>39</v>
      </c>
      <c r="B4" s="4">
        <v>45383</v>
      </c>
      <c r="C4" s="5" t="s">
        <v>4</v>
      </c>
      <c r="D4" s="95" t="s">
        <v>15</v>
      </c>
      <c r="E4" s="96"/>
      <c r="F4" s="22"/>
      <c r="G4" s="22">
        <v>1940</v>
      </c>
      <c r="I4" s="9" t="s">
        <v>23</v>
      </c>
      <c r="J4" s="11"/>
      <c r="K4" s="25">
        <v>1940</v>
      </c>
      <c r="L4" s="21"/>
      <c r="M4" s="26"/>
      <c r="N4" s="27">
        <f t="shared" si="0"/>
        <v>1940</v>
      </c>
      <c r="O4" s="28"/>
      <c r="P4" s="69">
        <f t="shared" si="1"/>
        <v>176</v>
      </c>
      <c r="Q4" s="70">
        <f t="shared" si="2"/>
        <v>0</v>
      </c>
      <c r="R4" s="27">
        <f t="shared" si="3"/>
        <v>176</v>
      </c>
    </row>
    <row r="5" spans="1:18" x14ac:dyDescent="0.4">
      <c r="A5" s="3" t="s">
        <v>39</v>
      </c>
      <c r="B5" s="4">
        <v>45383</v>
      </c>
      <c r="C5" s="5" t="s">
        <v>4</v>
      </c>
      <c r="D5" s="95" t="s">
        <v>15</v>
      </c>
      <c r="E5" s="96"/>
      <c r="F5" s="22"/>
      <c r="G5" s="22">
        <v>2890</v>
      </c>
      <c r="I5" s="9" t="s">
        <v>23</v>
      </c>
      <c r="J5" s="11"/>
      <c r="K5" s="25">
        <v>2890</v>
      </c>
      <c r="L5" s="21"/>
      <c r="M5" s="26"/>
      <c r="N5" s="27">
        <f t="shared" si="0"/>
        <v>2890</v>
      </c>
      <c r="O5" s="28"/>
      <c r="P5" s="69">
        <f t="shared" si="1"/>
        <v>262</v>
      </c>
      <c r="Q5" s="70">
        <f t="shared" si="2"/>
        <v>0</v>
      </c>
      <c r="R5" s="27">
        <f t="shared" si="3"/>
        <v>262</v>
      </c>
    </row>
    <row r="6" spans="1:18" x14ac:dyDescent="0.4">
      <c r="A6" s="3" t="s">
        <v>39</v>
      </c>
      <c r="B6" s="4">
        <v>45383</v>
      </c>
      <c r="C6" s="5" t="s">
        <v>4</v>
      </c>
      <c r="D6" s="95" t="s">
        <v>14</v>
      </c>
      <c r="E6" s="96"/>
      <c r="F6" s="22"/>
      <c r="G6" s="22">
        <v>968</v>
      </c>
      <c r="I6" s="9" t="s">
        <v>23</v>
      </c>
      <c r="J6" s="11"/>
      <c r="K6" s="25"/>
      <c r="L6" s="21">
        <v>968</v>
      </c>
      <c r="M6" s="26"/>
      <c r="N6" s="27">
        <f t="shared" si="0"/>
        <v>968</v>
      </c>
      <c r="O6" s="28"/>
      <c r="P6" s="69">
        <f t="shared" si="1"/>
        <v>0</v>
      </c>
      <c r="Q6" s="70">
        <f t="shared" si="2"/>
        <v>71</v>
      </c>
      <c r="R6" s="27">
        <f t="shared" si="3"/>
        <v>71</v>
      </c>
    </row>
    <row r="7" spans="1:18" x14ac:dyDescent="0.4">
      <c r="A7" s="3" t="s">
        <v>39</v>
      </c>
      <c r="B7" s="4">
        <v>45384</v>
      </c>
      <c r="C7" s="5" t="s">
        <v>4</v>
      </c>
      <c r="D7" s="95" t="s">
        <v>14</v>
      </c>
      <c r="E7" s="96"/>
      <c r="F7" s="22"/>
      <c r="G7" s="22">
        <v>880</v>
      </c>
      <c r="I7" s="9" t="s">
        <v>23</v>
      </c>
      <c r="J7" s="11"/>
      <c r="K7" s="25"/>
      <c r="L7" s="21">
        <v>880</v>
      </c>
      <c r="M7" s="26"/>
      <c r="N7" s="27">
        <f t="shared" si="0"/>
        <v>880</v>
      </c>
      <c r="O7" s="28"/>
      <c r="P7" s="69">
        <f t="shared" si="1"/>
        <v>0</v>
      </c>
      <c r="Q7" s="70">
        <f t="shared" si="2"/>
        <v>65</v>
      </c>
      <c r="R7" s="27">
        <f t="shared" si="3"/>
        <v>65</v>
      </c>
    </row>
    <row r="8" spans="1:18" x14ac:dyDescent="0.4">
      <c r="A8" s="3" t="s">
        <v>39</v>
      </c>
      <c r="B8" s="4">
        <v>45390</v>
      </c>
      <c r="C8" s="5" t="s">
        <v>4</v>
      </c>
      <c r="D8" s="95" t="s">
        <v>14</v>
      </c>
      <c r="E8" s="96"/>
      <c r="F8" s="22"/>
      <c r="G8" s="22">
        <v>969</v>
      </c>
      <c r="I8" s="9" t="s">
        <v>23</v>
      </c>
      <c r="J8" s="11"/>
      <c r="K8" s="25"/>
      <c r="L8" s="21">
        <v>969</v>
      </c>
      <c r="M8" s="26"/>
      <c r="N8" s="27">
        <f t="shared" si="0"/>
        <v>969</v>
      </c>
      <c r="O8" s="28"/>
      <c r="P8" s="69">
        <f t="shared" si="1"/>
        <v>0</v>
      </c>
      <c r="Q8" s="70">
        <f t="shared" si="2"/>
        <v>71</v>
      </c>
      <c r="R8" s="27">
        <f t="shared" si="3"/>
        <v>71</v>
      </c>
    </row>
    <row r="9" spans="1:18" x14ac:dyDescent="0.4">
      <c r="A9" s="3" t="s">
        <v>39</v>
      </c>
      <c r="B9" s="4">
        <v>45390</v>
      </c>
      <c r="C9" s="5" t="s">
        <v>40</v>
      </c>
      <c r="D9" s="95" t="s">
        <v>47</v>
      </c>
      <c r="E9" s="96"/>
      <c r="F9" s="22"/>
      <c r="G9" s="22">
        <v>6980</v>
      </c>
      <c r="I9" s="9" t="s">
        <v>23</v>
      </c>
      <c r="J9" s="11"/>
      <c r="K9" s="25">
        <v>6980</v>
      </c>
      <c r="L9" s="21"/>
      <c r="M9" s="26"/>
      <c r="N9" s="27">
        <f t="shared" si="0"/>
        <v>6980</v>
      </c>
      <c r="O9" s="28"/>
      <c r="P9" s="69">
        <f t="shared" si="1"/>
        <v>634</v>
      </c>
      <c r="Q9" s="70">
        <f t="shared" si="2"/>
        <v>0</v>
      </c>
      <c r="R9" s="27">
        <f t="shared" si="3"/>
        <v>634</v>
      </c>
    </row>
    <row r="10" spans="1:18" x14ac:dyDescent="0.4">
      <c r="A10" s="3" t="s">
        <v>39</v>
      </c>
      <c r="B10" s="4">
        <v>45391</v>
      </c>
      <c r="C10" s="5" t="s">
        <v>4</v>
      </c>
      <c r="D10" s="95" t="s">
        <v>14</v>
      </c>
      <c r="E10" s="96"/>
      <c r="F10" s="22"/>
      <c r="G10" s="22">
        <v>989</v>
      </c>
      <c r="I10" s="9" t="s">
        <v>23</v>
      </c>
      <c r="J10" s="11"/>
      <c r="K10" s="25"/>
      <c r="L10" s="21">
        <v>989</v>
      </c>
      <c r="M10" s="26"/>
      <c r="N10" s="27">
        <f t="shared" si="0"/>
        <v>989</v>
      </c>
      <c r="O10" s="28"/>
      <c r="P10" s="69">
        <f t="shared" si="1"/>
        <v>0</v>
      </c>
      <c r="Q10" s="70">
        <f t="shared" si="2"/>
        <v>73</v>
      </c>
      <c r="R10" s="27">
        <f t="shared" si="3"/>
        <v>73</v>
      </c>
    </row>
    <row r="11" spans="1:18" x14ac:dyDescent="0.4">
      <c r="A11" s="3" t="s">
        <v>39</v>
      </c>
      <c r="B11" s="4">
        <v>45392</v>
      </c>
      <c r="C11" s="5" t="s">
        <v>4</v>
      </c>
      <c r="D11" s="95" t="s">
        <v>14</v>
      </c>
      <c r="E11" s="96"/>
      <c r="F11" s="22"/>
      <c r="G11" s="22">
        <v>951</v>
      </c>
      <c r="I11" s="9" t="s">
        <v>23</v>
      </c>
      <c r="J11" s="11"/>
      <c r="K11" s="25"/>
      <c r="L11" s="21">
        <v>951</v>
      </c>
      <c r="M11" s="26"/>
      <c r="N11" s="27">
        <f t="shared" si="0"/>
        <v>951</v>
      </c>
      <c r="O11" s="28"/>
      <c r="P11" s="69">
        <f t="shared" si="1"/>
        <v>0</v>
      </c>
      <c r="Q11" s="70">
        <f t="shared" si="2"/>
        <v>70</v>
      </c>
      <c r="R11" s="27">
        <f t="shared" si="3"/>
        <v>70</v>
      </c>
    </row>
    <row r="12" spans="1:18" x14ac:dyDescent="0.4">
      <c r="A12" s="3" t="s">
        <v>39</v>
      </c>
      <c r="B12" s="4">
        <v>45393</v>
      </c>
      <c r="C12" s="5" t="s">
        <v>40</v>
      </c>
      <c r="D12" s="95" t="s">
        <v>47</v>
      </c>
      <c r="E12" s="96"/>
      <c r="F12" s="22"/>
      <c r="G12" s="22">
        <v>3308</v>
      </c>
      <c r="I12" s="9" t="s">
        <v>23</v>
      </c>
      <c r="J12" s="11"/>
      <c r="K12" s="25">
        <v>3308</v>
      </c>
      <c r="L12" s="21"/>
      <c r="M12" s="26"/>
      <c r="N12" s="27">
        <f t="shared" si="0"/>
        <v>3308</v>
      </c>
      <c r="O12" s="28"/>
      <c r="P12" s="69">
        <f t="shared" si="1"/>
        <v>300</v>
      </c>
      <c r="Q12" s="70">
        <f t="shared" si="2"/>
        <v>0</v>
      </c>
      <c r="R12" s="27">
        <f t="shared" si="3"/>
        <v>300</v>
      </c>
    </row>
    <row r="13" spans="1:18" x14ac:dyDescent="0.4">
      <c r="A13" s="3" t="s">
        <v>39</v>
      </c>
      <c r="B13" s="4">
        <v>45393</v>
      </c>
      <c r="C13" s="5" t="s">
        <v>4</v>
      </c>
      <c r="D13" s="95" t="s">
        <v>14</v>
      </c>
      <c r="E13" s="96"/>
      <c r="F13" s="22"/>
      <c r="G13" s="22">
        <v>885</v>
      </c>
      <c r="I13" s="9" t="s">
        <v>23</v>
      </c>
      <c r="J13" s="11"/>
      <c r="K13" s="25"/>
      <c r="L13" s="21">
        <v>885</v>
      </c>
      <c r="M13" s="29"/>
      <c r="N13" s="27">
        <f t="shared" si="0"/>
        <v>885</v>
      </c>
      <c r="O13" s="28"/>
      <c r="P13" s="69">
        <f t="shared" si="1"/>
        <v>0</v>
      </c>
      <c r="Q13" s="70">
        <f t="shared" si="2"/>
        <v>65</v>
      </c>
      <c r="R13" s="27">
        <f t="shared" si="3"/>
        <v>65</v>
      </c>
    </row>
    <row r="14" spans="1:18" x14ac:dyDescent="0.4">
      <c r="A14" s="3" t="s">
        <v>39</v>
      </c>
      <c r="B14" s="4">
        <v>45394</v>
      </c>
      <c r="C14" s="5" t="s">
        <v>4</v>
      </c>
      <c r="D14" s="95" t="s">
        <v>41</v>
      </c>
      <c r="E14" s="96"/>
      <c r="F14" s="22"/>
      <c r="G14" s="22">
        <v>5000</v>
      </c>
      <c r="I14" s="9" t="s">
        <v>23</v>
      </c>
      <c r="J14" s="11"/>
      <c r="K14" s="25">
        <v>5000</v>
      </c>
      <c r="L14" s="21"/>
      <c r="M14" s="26"/>
      <c r="N14" s="27">
        <f t="shared" si="0"/>
        <v>5000</v>
      </c>
      <c r="O14" s="28"/>
      <c r="P14" s="69">
        <f t="shared" si="1"/>
        <v>454</v>
      </c>
      <c r="Q14" s="70">
        <f t="shared" si="2"/>
        <v>0</v>
      </c>
      <c r="R14" s="27">
        <f t="shared" si="3"/>
        <v>454</v>
      </c>
    </row>
    <row r="15" spans="1:18" x14ac:dyDescent="0.4">
      <c r="A15" s="3" t="s">
        <v>39</v>
      </c>
      <c r="B15" s="4">
        <v>45395</v>
      </c>
      <c r="C15" s="5" t="s">
        <v>4</v>
      </c>
      <c r="D15" s="95" t="s">
        <v>41</v>
      </c>
      <c r="E15" s="96"/>
      <c r="F15" s="22"/>
      <c r="G15" s="22">
        <v>2000</v>
      </c>
      <c r="I15" s="9" t="s">
        <v>23</v>
      </c>
      <c r="J15" s="11"/>
      <c r="K15" s="25">
        <v>2000</v>
      </c>
      <c r="L15" s="21"/>
      <c r="M15" s="26"/>
      <c r="N15" s="27">
        <f t="shared" si="0"/>
        <v>2000</v>
      </c>
      <c r="O15" s="28"/>
      <c r="P15" s="69">
        <f t="shared" si="1"/>
        <v>181</v>
      </c>
      <c r="Q15" s="70">
        <f t="shared" si="2"/>
        <v>0</v>
      </c>
      <c r="R15" s="27">
        <f t="shared" si="3"/>
        <v>181</v>
      </c>
    </row>
    <row r="16" spans="1:18" x14ac:dyDescent="0.4">
      <c r="A16" s="3" t="s">
        <v>39</v>
      </c>
      <c r="B16" s="4">
        <v>45395</v>
      </c>
      <c r="C16" s="5" t="s">
        <v>4</v>
      </c>
      <c r="D16" s="95" t="s">
        <v>15</v>
      </c>
      <c r="E16" s="96"/>
      <c r="F16" s="22"/>
      <c r="G16" s="22">
        <v>1240</v>
      </c>
      <c r="I16" s="9" t="s">
        <v>23</v>
      </c>
      <c r="J16" s="11"/>
      <c r="K16" s="25">
        <v>1240</v>
      </c>
      <c r="L16" s="21"/>
      <c r="M16" s="26"/>
      <c r="N16" s="27">
        <f t="shared" si="0"/>
        <v>1240</v>
      </c>
      <c r="O16" s="28"/>
      <c r="P16" s="69">
        <f t="shared" si="1"/>
        <v>112</v>
      </c>
      <c r="Q16" s="70">
        <f t="shared" si="2"/>
        <v>0</v>
      </c>
      <c r="R16" s="27">
        <f t="shared" si="3"/>
        <v>112</v>
      </c>
    </row>
    <row r="17" spans="1:18" x14ac:dyDescent="0.4">
      <c r="A17" s="3" t="s">
        <v>39</v>
      </c>
      <c r="B17" s="4">
        <v>45395</v>
      </c>
      <c r="C17" s="5" t="s">
        <v>4</v>
      </c>
      <c r="D17" s="95" t="s">
        <v>15</v>
      </c>
      <c r="E17" s="96"/>
      <c r="F17" s="22"/>
      <c r="G17" s="22">
        <v>1940</v>
      </c>
      <c r="I17" s="9" t="s">
        <v>23</v>
      </c>
      <c r="J17" s="11"/>
      <c r="K17" s="25">
        <v>1940</v>
      </c>
      <c r="L17" s="21"/>
      <c r="M17" s="26"/>
      <c r="N17" s="27">
        <f t="shared" si="0"/>
        <v>1940</v>
      </c>
      <c r="O17" s="28"/>
      <c r="P17" s="69">
        <f t="shared" si="1"/>
        <v>176</v>
      </c>
      <c r="Q17" s="70">
        <f t="shared" si="2"/>
        <v>0</v>
      </c>
      <c r="R17" s="27">
        <f t="shared" si="3"/>
        <v>176</v>
      </c>
    </row>
    <row r="18" spans="1:18" x14ac:dyDescent="0.4">
      <c r="A18" s="3" t="s">
        <v>39</v>
      </c>
      <c r="B18" s="4">
        <v>45395</v>
      </c>
      <c r="C18" s="5" t="s">
        <v>4</v>
      </c>
      <c r="D18" s="95" t="s">
        <v>41</v>
      </c>
      <c r="E18" s="96"/>
      <c r="F18" s="22"/>
      <c r="G18" s="22">
        <v>7866</v>
      </c>
      <c r="I18" s="9" t="s">
        <v>23</v>
      </c>
      <c r="J18" s="11"/>
      <c r="K18" s="25">
        <v>6390</v>
      </c>
      <c r="L18" s="21"/>
      <c r="M18" s="26">
        <v>1476</v>
      </c>
      <c r="N18" s="27">
        <f t="shared" si="0"/>
        <v>7866</v>
      </c>
      <c r="O18" s="28"/>
      <c r="P18" s="69">
        <f t="shared" si="1"/>
        <v>580</v>
      </c>
      <c r="Q18" s="70">
        <f t="shared" si="2"/>
        <v>0</v>
      </c>
      <c r="R18" s="27">
        <f t="shared" si="3"/>
        <v>580</v>
      </c>
    </row>
    <row r="19" spans="1:18" x14ac:dyDescent="0.4">
      <c r="A19" s="3" t="s">
        <v>39</v>
      </c>
      <c r="B19" s="4">
        <v>45397</v>
      </c>
      <c r="C19" s="5" t="s">
        <v>4</v>
      </c>
      <c r="D19" s="95" t="s">
        <v>15</v>
      </c>
      <c r="E19" s="96"/>
      <c r="F19" s="22"/>
      <c r="G19" s="22">
        <v>1940</v>
      </c>
      <c r="I19" s="9" t="s">
        <v>23</v>
      </c>
      <c r="J19" s="11"/>
      <c r="K19" s="25">
        <v>1940</v>
      </c>
      <c r="L19" s="21"/>
      <c r="M19" s="26"/>
      <c r="N19" s="27">
        <f t="shared" si="0"/>
        <v>1940</v>
      </c>
      <c r="O19" s="28"/>
      <c r="P19" s="69">
        <f t="shared" si="1"/>
        <v>176</v>
      </c>
      <c r="Q19" s="70">
        <f t="shared" si="2"/>
        <v>0</v>
      </c>
      <c r="R19" s="27">
        <f t="shared" si="3"/>
        <v>176</v>
      </c>
    </row>
    <row r="20" spans="1:18" x14ac:dyDescent="0.4">
      <c r="A20" s="3" t="s">
        <v>39</v>
      </c>
      <c r="B20" s="4">
        <v>45397</v>
      </c>
      <c r="C20" s="5" t="s">
        <v>4</v>
      </c>
      <c r="D20" s="95" t="s">
        <v>15</v>
      </c>
      <c r="E20" s="96"/>
      <c r="F20" s="22"/>
      <c r="G20" s="22">
        <v>2890</v>
      </c>
      <c r="I20" s="9" t="s">
        <v>23</v>
      </c>
      <c r="J20" s="11"/>
      <c r="K20" s="25">
        <v>2890</v>
      </c>
      <c r="L20" s="21"/>
      <c r="M20" s="26"/>
      <c r="N20" s="27">
        <f t="shared" si="0"/>
        <v>2890</v>
      </c>
      <c r="O20" s="28"/>
      <c r="P20" s="69">
        <f t="shared" si="1"/>
        <v>262</v>
      </c>
      <c r="Q20" s="70">
        <f t="shared" si="2"/>
        <v>0</v>
      </c>
      <c r="R20" s="27">
        <f t="shared" si="3"/>
        <v>262</v>
      </c>
    </row>
    <row r="21" spans="1:18" x14ac:dyDescent="0.4">
      <c r="A21" s="3" t="s">
        <v>39</v>
      </c>
      <c r="B21" s="4">
        <v>45397</v>
      </c>
      <c r="C21" s="5" t="s">
        <v>4</v>
      </c>
      <c r="D21" s="95" t="s">
        <v>14</v>
      </c>
      <c r="E21" s="96"/>
      <c r="F21" s="22"/>
      <c r="G21" s="22">
        <v>966</v>
      </c>
      <c r="I21" s="9" t="s">
        <v>23</v>
      </c>
      <c r="J21" s="11"/>
      <c r="K21" s="25"/>
      <c r="L21" s="21">
        <v>966</v>
      </c>
      <c r="M21" s="26"/>
      <c r="N21" s="27">
        <f t="shared" si="0"/>
        <v>966</v>
      </c>
      <c r="O21" s="28"/>
      <c r="P21" s="69">
        <f t="shared" si="1"/>
        <v>0</v>
      </c>
      <c r="Q21" s="70">
        <f t="shared" si="2"/>
        <v>71</v>
      </c>
      <c r="R21" s="27">
        <f t="shared" si="3"/>
        <v>71</v>
      </c>
    </row>
    <row r="22" spans="1:18" x14ac:dyDescent="0.4">
      <c r="A22" s="3" t="s">
        <v>39</v>
      </c>
      <c r="B22" s="4">
        <v>45397</v>
      </c>
      <c r="C22" s="5" t="s">
        <v>4</v>
      </c>
      <c r="D22" s="95" t="s">
        <v>41</v>
      </c>
      <c r="E22" s="96"/>
      <c r="F22" s="22"/>
      <c r="G22" s="22">
        <v>6200</v>
      </c>
      <c r="I22" s="9" t="s">
        <v>23</v>
      </c>
      <c r="J22" s="11"/>
      <c r="K22" s="25">
        <v>6200</v>
      </c>
      <c r="L22" s="21"/>
      <c r="M22" s="26"/>
      <c r="N22" s="27">
        <f t="shared" si="0"/>
        <v>6200</v>
      </c>
      <c r="O22" s="28"/>
      <c r="P22" s="69">
        <f t="shared" si="1"/>
        <v>563</v>
      </c>
      <c r="Q22" s="70">
        <f t="shared" si="2"/>
        <v>0</v>
      </c>
      <c r="R22" s="27">
        <f t="shared" si="3"/>
        <v>563</v>
      </c>
    </row>
    <row r="23" spans="1:18" x14ac:dyDescent="0.4">
      <c r="A23" s="3" t="s">
        <v>39</v>
      </c>
      <c r="B23" s="4">
        <v>45398</v>
      </c>
      <c r="C23" s="5" t="s">
        <v>4</v>
      </c>
      <c r="D23" s="95" t="s">
        <v>14</v>
      </c>
      <c r="E23" s="96"/>
      <c r="F23" s="22"/>
      <c r="G23" s="22">
        <v>962</v>
      </c>
      <c r="I23" s="9" t="s">
        <v>23</v>
      </c>
      <c r="J23" s="11"/>
      <c r="K23" s="25"/>
      <c r="L23" s="21">
        <v>962</v>
      </c>
      <c r="M23" s="26"/>
      <c r="N23" s="27">
        <f t="shared" si="0"/>
        <v>962</v>
      </c>
      <c r="O23" s="28"/>
      <c r="P23" s="69">
        <f t="shared" si="1"/>
        <v>0</v>
      </c>
      <c r="Q23" s="70">
        <f t="shared" si="2"/>
        <v>71</v>
      </c>
      <c r="R23" s="27">
        <f t="shared" si="3"/>
        <v>71</v>
      </c>
    </row>
    <row r="24" spans="1:18" x14ac:dyDescent="0.4">
      <c r="A24" s="3" t="s">
        <v>39</v>
      </c>
      <c r="B24" s="4">
        <v>45399</v>
      </c>
      <c r="C24" s="5" t="s">
        <v>4</v>
      </c>
      <c r="D24" s="95" t="s">
        <v>14</v>
      </c>
      <c r="E24" s="96"/>
      <c r="F24" s="22"/>
      <c r="G24" s="22">
        <v>911</v>
      </c>
      <c r="I24" s="9" t="s">
        <v>23</v>
      </c>
      <c r="J24" s="11"/>
      <c r="K24" s="25"/>
      <c r="L24" s="21">
        <v>911</v>
      </c>
      <c r="M24" s="26"/>
      <c r="N24" s="27">
        <f t="shared" si="0"/>
        <v>911</v>
      </c>
      <c r="O24" s="28"/>
      <c r="P24" s="69">
        <f t="shared" si="1"/>
        <v>0</v>
      </c>
      <c r="Q24" s="70">
        <f t="shared" si="2"/>
        <v>67</v>
      </c>
      <c r="R24" s="27">
        <f t="shared" si="3"/>
        <v>67</v>
      </c>
    </row>
    <row r="25" spans="1:18" x14ac:dyDescent="0.4">
      <c r="A25" s="3" t="s">
        <v>39</v>
      </c>
      <c r="B25" s="4">
        <v>45400</v>
      </c>
      <c r="C25" s="5" t="s">
        <v>4</v>
      </c>
      <c r="D25" s="95" t="s">
        <v>14</v>
      </c>
      <c r="E25" s="96"/>
      <c r="F25" s="22"/>
      <c r="G25" s="22">
        <v>952</v>
      </c>
      <c r="I25" s="9" t="s">
        <v>23</v>
      </c>
      <c r="J25" s="11"/>
      <c r="K25" s="25"/>
      <c r="L25" s="21">
        <v>952</v>
      </c>
      <c r="M25" s="26"/>
      <c r="N25" s="27">
        <f t="shared" si="0"/>
        <v>952</v>
      </c>
      <c r="O25" s="28"/>
      <c r="P25" s="69">
        <f t="shared" si="1"/>
        <v>0</v>
      </c>
      <c r="Q25" s="70">
        <f t="shared" si="2"/>
        <v>70</v>
      </c>
      <c r="R25" s="27">
        <f t="shared" si="3"/>
        <v>70</v>
      </c>
    </row>
    <row r="26" spans="1:18" x14ac:dyDescent="0.4">
      <c r="A26" s="3" t="s">
        <v>39</v>
      </c>
      <c r="B26" s="4">
        <v>45401</v>
      </c>
      <c r="C26" s="5" t="s">
        <v>4</v>
      </c>
      <c r="D26" s="95" t="s">
        <v>14</v>
      </c>
      <c r="E26" s="96"/>
      <c r="F26" s="22"/>
      <c r="G26" s="22">
        <v>901</v>
      </c>
      <c r="I26" s="9" t="s">
        <v>23</v>
      </c>
      <c r="J26" s="11"/>
      <c r="K26" s="25"/>
      <c r="L26" s="21">
        <v>901</v>
      </c>
      <c r="M26" s="26"/>
      <c r="N26" s="27">
        <f t="shared" si="0"/>
        <v>901</v>
      </c>
      <c r="O26" s="28"/>
      <c r="P26" s="69">
        <f t="shared" si="1"/>
        <v>0</v>
      </c>
      <c r="Q26" s="70">
        <f t="shared" si="2"/>
        <v>66</v>
      </c>
      <c r="R26" s="27">
        <f t="shared" si="3"/>
        <v>66</v>
      </c>
    </row>
    <row r="27" spans="1:18" x14ac:dyDescent="0.4">
      <c r="A27" s="3" t="s">
        <v>39</v>
      </c>
      <c r="B27" s="4">
        <v>45401</v>
      </c>
      <c r="C27" s="5" t="s">
        <v>42</v>
      </c>
      <c r="D27" s="95" t="s">
        <v>95</v>
      </c>
      <c r="E27" s="96"/>
      <c r="F27" s="22"/>
      <c r="G27" s="22">
        <v>2408</v>
      </c>
      <c r="I27" s="9" t="s">
        <v>23</v>
      </c>
      <c r="J27" s="11"/>
      <c r="K27" s="25">
        <v>2408</v>
      </c>
      <c r="L27" s="21"/>
      <c r="M27" s="26"/>
      <c r="N27" s="27">
        <f t="shared" si="0"/>
        <v>2408</v>
      </c>
      <c r="O27" s="28"/>
      <c r="P27" s="69">
        <f t="shared" si="1"/>
        <v>218</v>
      </c>
      <c r="Q27" s="70">
        <f t="shared" si="2"/>
        <v>0</v>
      </c>
      <c r="R27" s="27">
        <f t="shared" si="3"/>
        <v>218</v>
      </c>
    </row>
    <row r="28" spans="1:18" x14ac:dyDescent="0.4">
      <c r="A28" s="3" t="s">
        <v>39</v>
      </c>
      <c r="B28" s="4">
        <v>45404</v>
      </c>
      <c r="C28" s="5" t="s">
        <v>4</v>
      </c>
      <c r="D28" s="95" t="s">
        <v>14</v>
      </c>
      <c r="E28" s="96"/>
      <c r="F28" s="22"/>
      <c r="G28" s="22">
        <v>938</v>
      </c>
      <c r="I28" s="9" t="s">
        <v>23</v>
      </c>
      <c r="J28" s="11"/>
      <c r="K28" s="25"/>
      <c r="L28" s="21">
        <v>938</v>
      </c>
      <c r="M28" s="26"/>
      <c r="N28" s="27">
        <f t="shared" si="0"/>
        <v>938</v>
      </c>
      <c r="O28" s="28"/>
      <c r="P28" s="69">
        <f t="shared" si="1"/>
        <v>0</v>
      </c>
      <c r="Q28" s="70">
        <f t="shared" si="2"/>
        <v>69</v>
      </c>
      <c r="R28" s="27">
        <f t="shared" si="3"/>
        <v>69</v>
      </c>
    </row>
    <row r="29" spans="1:18" x14ac:dyDescent="0.4">
      <c r="A29" s="3" t="s">
        <v>39</v>
      </c>
      <c r="B29" s="4">
        <v>45404</v>
      </c>
      <c r="C29" s="5" t="s">
        <v>40</v>
      </c>
      <c r="D29" s="95" t="s">
        <v>47</v>
      </c>
      <c r="E29" s="96"/>
      <c r="F29" s="22"/>
      <c r="G29" s="22">
        <v>3660</v>
      </c>
      <c r="I29" s="9" t="s">
        <v>23</v>
      </c>
      <c r="J29" s="11"/>
      <c r="K29" s="25">
        <v>3032</v>
      </c>
      <c r="L29" s="21">
        <v>628</v>
      </c>
      <c r="M29" s="26"/>
      <c r="N29" s="27">
        <f t="shared" si="0"/>
        <v>3660</v>
      </c>
      <c r="O29" s="28"/>
      <c r="P29" s="69">
        <f t="shared" si="1"/>
        <v>275</v>
      </c>
      <c r="Q29" s="70">
        <f t="shared" si="2"/>
        <v>46</v>
      </c>
      <c r="R29" s="27">
        <f t="shared" si="3"/>
        <v>321</v>
      </c>
    </row>
    <row r="30" spans="1:18" x14ac:dyDescent="0.4">
      <c r="A30" s="3" t="s">
        <v>39</v>
      </c>
      <c r="B30" s="4">
        <v>45405</v>
      </c>
      <c r="C30" s="5" t="s">
        <v>4</v>
      </c>
      <c r="D30" s="95" t="s">
        <v>14</v>
      </c>
      <c r="E30" s="96"/>
      <c r="F30" s="22"/>
      <c r="G30" s="22">
        <v>948</v>
      </c>
      <c r="I30" s="9" t="s">
        <v>23</v>
      </c>
      <c r="J30" s="11"/>
      <c r="K30" s="25"/>
      <c r="L30" s="21">
        <v>948</v>
      </c>
      <c r="M30" s="26"/>
      <c r="N30" s="27">
        <f t="shared" si="0"/>
        <v>948</v>
      </c>
      <c r="O30" s="28"/>
      <c r="P30" s="69">
        <f t="shared" si="1"/>
        <v>0</v>
      </c>
      <c r="Q30" s="70">
        <f t="shared" si="2"/>
        <v>70</v>
      </c>
      <c r="R30" s="27">
        <f t="shared" si="3"/>
        <v>70</v>
      </c>
    </row>
    <row r="31" spans="1:18" x14ac:dyDescent="0.4">
      <c r="A31" s="3" t="s">
        <v>39</v>
      </c>
      <c r="B31" s="4">
        <v>45405</v>
      </c>
      <c r="C31" s="5" t="s">
        <v>40</v>
      </c>
      <c r="D31" s="95" t="s">
        <v>47</v>
      </c>
      <c r="E31" s="96"/>
      <c r="F31" s="22"/>
      <c r="G31" s="22">
        <v>6308</v>
      </c>
      <c r="I31" s="9" t="s">
        <v>23</v>
      </c>
      <c r="J31" s="11"/>
      <c r="K31" s="25">
        <v>6308</v>
      </c>
      <c r="L31" s="21"/>
      <c r="M31" s="26"/>
      <c r="N31" s="27">
        <f t="shared" si="0"/>
        <v>6308</v>
      </c>
      <c r="O31" s="28"/>
      <c r="P31" s="69">
        <f t="shared" si="1"/>
        <v>573</v>
      </c>
      <c r="Q31" s="70">
        <f t="shared" si="2"/>
        <v>0</v>
      </c>
      <c r="R31" s="27">
        <f t="shared" si="3"/>
        <v>573</v>
      </c>
    </row>
    <row r="32" spans="1:18" x14ac:dyDescent="0.4">
      <c r="A32" s="3" t="s">
        <v>39</v>
      </c>
      <c r="B32" s="4">
        <v>45406</v>
      </c>
      <c r="C32" s="5" t="s">
        <v>4</v>
      </c>
      <c r="D32" s="95" t="s">
        <v>14</v>
      </c>
      <c r="E32" s="96"/>
      <c r="F32" s="22"/>
      <c r="G32" s="22">
        <v>948</v>
      </c>
      <c r="I32" s="9" t="s">
        <v>23</v>
      </c>
      <c r="J32" s="11"/>
      <c r="K32" s="25"/>
      <c r="L32" s="21">
        <v>948</v>
      </c>
      <c r="M32" s="26"/>
      <c r="N32" s="27">
        <f t="shared" si="0"/>
        <v>948</v>
      </c>
      <c r="O32" s="28"/>
      <c r="P32" s="69">
        <f t="shared" si="1"/>
        <v>0</v>
      </c>
      <c r="Q32" s="70">
        <f t="shared" si="2"/>
        <v>70</v>
      </c>
      <c r="R32" s="27">
        <f t="shared" si="3"/>
        <v>70</v>
      </c>
    </row>
    <row r="33" spans="1:18" x14ac:dyDescent="0.4">
      <c r="A33" s="3" t="s">
        <v>39</v>
      </c>
      <c r="B33" s="4">
        <v>45407</v>
      </c>
      <c r="C33" s="5" t="s">
        <v>40</v>
      </c>
      <c r="D33" s="95" t="s">
        <v>47</v>
      </c>
      <c r="E33" s="96"/>
      <c r="F33" s="22"/>
      <c r="G33" s="22">
        <v>592</v>
      </c>
      <c r="I33" s="9" t="s">
        <v>23</v>
      </c>
      <c r="J33" s="11"/>
      <c r="K33" s="25">
        <v>592</v>
      </c>
      <c r="L33" s="21"/>
      <c r="M33" s="26"/>
      <c r="N33" s="27">
        <f t="shared" si="0"/>
        <v>592</v>
      </c>
      <c r="O33" s="28"/>
      <c r="P33" s="69">
        <f t="shared" si="1"/>
        <v>53</v>
      </c>
      <c r="Q33" s="70">
        <f t="shared" si="2"/>
        <v>0</v>
      </c>
      <c r="R33" s="27">
        <f t="shared" si="3"/>
        <v>53</v>
      </c>
    </row>
    <row r="34" spans="1:18" x14ac:dyDescent="0.4">
      <c r="A34" s="3" t="s">
        <v>39</v>
      </c>
      <c r="B34" s="4">
        <v>45407</v>
      </c>
      <c r="C34" s="5" t="s">
        <v>4</v>
      </c>
      <c r="D34" s="95" t="s">
        <v>41</v>
      </c>
      <c r="E34" s="96"/>
      <c r="F34" s="22"/>
      <c r="G34" s="22">
        <v>6134</v>
      </c>
      <c r="I34" s="9" t="s">
        <v>23</v>
      </c>
      <c r="J34" s="11"/>
      <c r="K34" s="25">
        <v>6134</v>
      </c>
      <c r="L34" s="21"/>
      <c r="M34" s="26"/>
      <c r="N34" s="27">
        <f t="shared" si="0"/>
        <v>6134</v>
      </c>
      <c r="O34" s="28"/>
      <c r="P34" s="69">
        <f t="shared" si="1"/>
        <v>557</v>
      </c>
      <c r="Q34" s="70">
        <f t="shared" si="2"/>
        <v>0</v>
      </c>
      <c r="R34" s="27">
        <f t="shared" si="3"/>
        <v>557</v>
      </c>
    </row>
    <row r="35" spans="1:18" x14ac:dyDescent="0.4">
      <c r="A35" s="6" t="s">
        <v>39</v>
      </c>
      <c r="B35" s="7">
        <v>45407</v>
      </c>
      <c r="C35" s="8" t="s">
        <v>4</v>
      </c>
      <c r="D35" s="98" t="s">
        <v>14</v>
      </c>
      <c r="E35" s="99"/>
      <c r="F35" s="23"/>
      <c r="G35" s="23">
        <v>962</v>
      </c>
      <c r="I35" s="10" t="s">
        <v>23</v>
      </c>
      <c r="J35" s="11"/>
      <c r="K35" s="30"/>
      <c r="L35" s="31">
        <v>962</v>
      </c>
      <c r="M35" s="32"/>
      <c r="N35" s="33">
        <f>IF(K35+L35+M35=0,"",K35+L35+M35)</f>
        <v>962</v>
      </c>
      <c r="O35" s="28"/>
      <c r="P35" s="71">
        <f t="shared" si="1"/>
        <v>0</v>
      </c>
      <c r="Q35" s="72">
        <f t="shared" si="2"/>
        <v>71</v>
      </c>
      <c r="R35" s="33">
        <f>P35+Q35</f>
        <v>71</v>
      </c>
    </row>
    <row r="36" spans="1:18" x14ac:dyDescent="0.4">
      <c r="A36" s="3"/>
      <c r="B36" s="4"/>
      <c r="C36" s="5"/>
      <c r="D36" s="95" t="s">
        <v>101</v>
      </c>
      <c r="E36" s="96"/>
      <c r="F36" s="22"/>
      <c r="G36" s="22"/>
      <c r="I36" s="9"/>
      <c r="J36" s="11"/>
      <c r="K36" s="25"/>
      <c r="L36" s="21"/>
      <c r="M36" s="26"/>
      <c r="N36" s="27" t="str">
        <f>IF(K36+L36+M36=0,"",K36+L36+M36)</f>
        <v/>
      </c>
    </row>
    <row r="37" spans="1:18" x14ac:dyDescent="0.4">
      <c r="A37" s="3" t="s">
        <v>46</v>
      </c>
      <c r="B37" s="4">
        <v>45408</v>
      </c>
      <c r="C37" s="5" t="s">
        <v>4</v>
      </c>
      <c r="D37" s="95" t="s">
        <v>97</v>
      </c>
      <c r="E37" s="96"/>
      <c r="F37" s="20"/>
      <c r="G37" s="21">
        <v>11000</v>
      </c>
      <c r="H37" s="1"/>
      <c r="I37" s="9" t="s">
        <v>23</v>
      </c>
      <c r="J37" s="11"/>
      <c r="K37" s="25"/>
      <c r="L37" s="21">
        <v>11000</v>
      </c>
      <c r="M37" s="26"/>
      <c r="N37" s="27">
        <f t="shared" ref="N37:N40" si="4">IF(K37+L37+M37=0,"",K37+L37+M37)</f>
        <v>11000</v>
      </c>
      <c r="O37" s="28"/>
      <c r="P37" s="69">
        <f t="shared" ref="P37:P40" si="5">ROUNDDOWN($K37/110*10,0)</f>
        <v>0</v>
      </c>
      <c r="Q37" s="70">
        <f t="shared" ref="Q37:Q40" si="6">ROUNDDOWN($L37/108*8,0)</f>
        <v>814</v>
      </c>
      <c r="R37" s="27">
        <f t="shared" ref="R37:R40" si="7">P37+Q37</f>
        <v>814</v>
      </c>
    </row>
    <row r="38" spans="1:18" x14ac:dyDescent="0.4">
      <c r="A38" s="3" t="s">
        <v>98</v>
      </c>
      <c r="B38" s="4">
        <v>45409</v>
      </c>
      <c r="C38" s="5" t="s">
        <v>4</v>
      </c>
      <c r="D38" s="95" t="s">
        <v>99</v>
      </c>
      <c r="E38" s="96"/>
      <c r="F38" s="22"/>
      <c r="G38" s="22">
        <v>1760</v>
      </c>
      <c r="I38" s="9" t="s">
        <v>23</v>
      </c>
      <c r="J38" s="11"/>
      <c r="K38" s="25">
        <v>1760</v>
      </c>
      <c r="L38" s="21"/>
      <c r="M38" s="26"/>
      <c r="N38" s="27">
        <f t="shared" si="4"/>
        <v>1760</v>
      </c>
      <c r="O38" s="28"/>
      <c r="P38" s="69">
        <f t="shared" si="5"/>
        <v>160</v>
      </c>
      <c r="Q38" s="70">
        <f t="shared" si="6"/>
        <v>0</v>
      </c>
      <c r="R38" s="27">
        <f t="shared" si="7"/>
        <v>160</v>
      </c>
    </row>
    <row r="39" spans="1:18" x14ac:dyDescent="0.4">
      <c r="A39" s="3" t="s">
        <v>39</v>
      </c>
      <c r="B39" s="4">
        <v>45410</v>
      </c>
      <c r="C39" s="5" t="s">
        <v>4</v>
      </c>
      <c r="D39" s="95" t="s">
        <v>100</v>
      </c>
      <c r="E39" s="96"/>
      <c r="F39" s="22"/>
      <c r="G39" s="22">
        <v>1760</v>
      </c>
      <c r="I39" s="9" t="s">
        <v>23</v>
      </c>
      <c r="J39" s="11"/>
      <c r="K39" s="25">
        <v>1760</v>
      </c>
      <c r="L39" s="21"/>
      <c r="M39" s="26"/>
      <c r="N39" s="27">
        <f t="shared" si="4"/>
        <v>1760</v>
      </c>
      <c r="O39" s="28"/>
      <c r="P39" s="69">
        <f t="shared" si="5"/>
        <v>160</v>
      </c>
      <c r="Q39" s="70">
        <f t="shared" si="6"/>
        <v>0</v>
      </c>
      <c r="R39" s="27">
        <f t="shared" si="7"/>
        <v>160</v>
      </c>
    </row>
    <row r="40" spans="1:18" x14ac:dyDescent="0.4">
      <c r="A40" s="3" t="s">
        <v>46</v>
      </c>
      <c r="B40" s="4">
        <v>45407</v>
      </c>
      <c r="C40" s="5" t="s">
        <v>4</v>
      </c>
      <c r="D40" s="95" t="s">
        <v>14</v>
      </c>
      <c r="E40" s="96"/>
      <c r="F40" s="22"/>
      <c r="G40" s="22">
        <v>520</v>
      </c>
      <c r="I40" s="9" t="s">
        <v>23</v>
      </c>
      <c r="J40" s="11"/>
      <c r="K40" s="25">
        <v>520</v>
      </c>
      <c r="L40" s="21"/>
      <c r="M40" s="26"/>
      <c r="N40" s="27">
        <f t="shared" si="4"/>
        <v>520</v>
      </c>
      <c r="O40" s="28"/>
      <c r="P40" s="69">
        <f t="shared" si="5"/>
        <v>47</v>
      </c>
      <c r="Q40" s="70">
        <f t="shared" si="6"/>
        <v>0</v>
      </c>
      <c r="R40" s="27">
        <f t="shared" si="7"/>
        <v>47</v>
      </c>
    </row>
    <row r="41" spans="1:18" x14ac:dyDescent="0.4">
      <c r="A41" s="3"/>
      <c r="B41" s="4"/>
      <c r="C41" s="5"/>
      <c r="D41" s="95" t="s">
        <v>53</v>
      </c>
      <c r="E41" s="96"/>
      <c r="F41" s="22"/>
      <c r="G41" s="22"/>
      <c r="I41" s="9"/>
      <c r="J41" s="11"/>
      <c r="K41" s="25"/>
      <c r="L41" s="21"/>
      <c r="M41" s="26"/>
      <c r="N41" s="27" t="str">
        <f>IF(K41+L41+M41=0,"",K41+L41+M41)</f>
        <v/>
      </c>
    </row>
    <row r="42" spans="1:18" x14ac:dyDescent="0.4">
      <c r="A42" s="3" t="s">
        <v>50</v>
      </c>
      <c r="B42" s="4">
        <v>45418</v>
      </c>
      <c r="C42" s="5" t="s">
        <v>4</v>
      </c>
      <c r="D42" s="95" t="s">
        <v>51</v>
      </c>
      <c r="E42" s="96"/>
      <c r="F42" s="20"/>
      <c r="G42" s="21">
        <v>105600</v>
      </c>
      <c r="H42" s="1"/>
      <c r="I42" s="9" t="s">
        <v>23</v>
      </c>
      <c r="J42" s="11"/>
      <c r="K42" s="25">
        <v>105600</v>
      </c>
      <c r="L42" s="21"/>
      <c r="M42" s="26"/>
      <c r="N42" s="27">
        <f t="shared" ref="N42:N45" si="8">IF(K42+L42+M42=0,"",K42+L42+M42)</f>
        <v>105600</v>
      </c>
      <c r="O42" s="28"/>
      <c r="P42" s="69">
        <f t="shared" ref="P42:P45" si="9">ROUNDDOWN($K42/110*10,0)</f>
        <v>9600</v>
      </c>
      <c r="Q42" s="70">
        <f t="shared" ref="Q42:Q45" si="10">ROUNDDOWN($L42/108*8,0)</f>
        <v>0</v>
      </c>
      <c r="R42" s="27">
        <f t="shared" ref="R42:R45" si="11">P42+Q42</f>
        <v>9600</v>
      </c>
    </row>
    <row r="43" spans="1:18" x14ac:dyDescent="0.4">
      <c r="A43" s="3"/>
      <c r="B43" s="4">
        <v>45419</v>
      </c>
      <c r="C43" s="5" t="s">
        <v>4</v>
      </c>
      <c r="D43" s="95" t="s">
        <v>52</v>
      </c>
      <c r="E43" s="96"/>
      <c r="F43" s="22"/>
      <c r="G43" s="22">
        <v>1610</v>
      </c>
      <c r="I43" s="9" t="s">
        <v>23</v>
      </c>
      <c r="J43" s="11"/>
      <c r="K43" s="25">
        <v>1610</v>
      </c>
      <c r="L43" s="21"/>
      <c r="M43" s="26"/>
      <c r="N43" s="27">
        <f t="shared" si="8"/>
        <v>1610</v>
      </c>
      <c r="O43" s="28"/>
      <c r="P43" s="69">
        <f t="shared" si="9"/>
        <v>146</v>
      </c>
      <c r="Q43" s="70">
        <f t="shared" si="10"/>
        <v>0</v>
      </c>
      <c r="R43" s="27">
        <f t="shared" si="11"/>
        <v>146</v>
      </c>
    </row>
    <row r="44" spans="1:18" x14ac:dyDescent="0.4">
      <c r="A44" s="3"/>
      <c r="B44" s="4">
        <v>45420</v>
      </c>
      <c r="C44" s="5" t="s">
        <v>4</v>
      </c>
      <c r="D44" s="95" t="s">
        <v>52</v>
      </c>
      <c r="E44" s="96"/>
      <c r="F44" s="22"/>
      <c r="G44" s="22">
        <v>1288</v>
      </c>
      <c r="I44" s="9" t="s">
        <v>23</v>
      </c>
      <c r="J44" s="11"/>
      <c r="K44" s="25"/>
      <c r="L44" s="21">
        <v>1288</v>
      </c>
      <c r="M44" s="26"/>
      <c r="N44" s="27">
        <f t="shared" si="8"/>
        <v>1288</v>
      </c>
      <c r="O44" s="28"/>
      <c r="P44" s="69">
        <f t="shared" si="9"/>
        <v>0</v>
      </c>
      <c r="Q44" s="70">
        <f t="shared" si="10"/>
        <v>95</v>
      </c>
      <c r="R44" s="27">
        <f t="shared" si="11"/>
        <v>95</v>
      </c>
    </row>
    <row r="45" spans="1:18" x14ac:dyDescent="0.4">
      <c r="A45" s="3"/>
      <c r="B45" s="4">
        <v>45421</v>
      </c>
      <c r="C45" s="5" t="s">
        <v>4</v>
      </c>
      <c r="D45" s="95" t="s">
        <v>52</v>
      </c>
      <c r="E45" s="96"/>
      <c r="F45" s="22"/>
      <c r="G45" s="22">
        <v>993</v>
      </c>
      <c r="I45" s="9" t="s">
        <v>23</v>
      </c>
      <c r="J45" s="11"/>
      <c r="K45" s="25"/>
      <c r="L45" s="21">
        <v>993</v>
      </c>
      <c r="M45" s="26"/>
      <c r="N45" s="27">
        <f t="shared" si="8"/>
        <v>993</v>
      </c>
      <c r="O45" s="28"/>
      <c r="P45" s="69">
        <f t="shared" si="9"/>
        <v>0</v>
      </c>
      <c r="Q45" s="70">
        <f t="shared" si="10"/>
        <v>73</v>
      </c>
      <c r="R45" s="27">
        <f t="shared" si="11"/>
        <v>73</v>
      </c>
    </row>
    <row r="46" spans="1:18" x14ac:dyDescent="0.4">
      <c r="A46" s="3"/>
      <c r="B46" s="4"/>
      <c r="C46" s="5"/>
      <c r="D46" s="95" t="s">
        <v>49</v>
      </c>
      <c r="E46" s="96"/>
      <c r="F46" s="20"/>
      <c r="G46" s="21"/>
      <c r="H46" s="1"/>
      <c r="I46" s="9"/>
      <c r="J46" s="11"/>
      <c r="K46" s="25"/>
      <c r="L46" s="21"/>
      <c r="M46" s="26"/>
      <c r="N46" s="27" t="str">
        <f t="shared" ref="N46:N60" si="12">IF(K46+L46+M46=0,"",K46+L46+M46)</f>
        <v/>
      </c>
    </row>
    <row r="47" spans="1:18" x14ac:dyDescent="0.4">
      <c r="A47" s="3" t="s">
        <v>48</v>
      </c>
      <c r="B47" s="4">
        <v>45397</v>
      </c>
      <c r="C47" s="5" t="s">
        <v>4</v>
      </c>
      <c r="D47" s="95" t="s">
        <v>15</v>
      </c>
      <c r="E47" s="96"/>
      <c r="F47" s="20"/>
      <c r="G47" s="21">
        <v>1940</v>
      </c>
      <c r="H47" s="1"/>
      <c r="I47" s="9" t="s">
        <v>23</v>
      </c>
      <c r="J47" s="11"/>
      <c r="K47" s="25">
        <v>1940</v>
      </c>
      <c r="L47" s="21"/>
      <c r="M47" s="26"/>
      <c r="N47" s="27">
        <f t="shared" si="12"/>
        <v>1940</v>
      </c>
      <c r="O47" s="28"/>
      <c r="P47" s="69">
        <f t="shared" ref="P47:P60" si="13">ROUNDDOWN($K47/110*10,0)</f>
        <v>176</v>
      </c>
      <c r="Q47" s="70">
        <f t="shared" ref="Q47:Q60" si="14">ROUNDDOWN($L47/108*8,0)</f>
        <v>0</v>
      </c>
      <c r="R47" s="27">
        <f t="shared" ref="R47:R60" si="15">P47+Q47</f>
        <v>176</v>
      </c>
    </row>
    <row r="48" spans="1:18" x14ac:dyDescent="0.4">
      <c r="A48" s="3"/>
      <c r="B48" s="4">
        <v>45397</v>
      </c>
      <c r="C48" s="5" t="s">
        <v>4</v>
      </c>
      <c r="D48" s="95" t="s">
        <v>15</v>
      </c>
      <c r="E48" s="96"/>
      <c r="F48" s="22"/>
      <c r="G48" s="22">
        <v>2890</v>
      </c>
      <c r="I48" s="9" t="s">
        <v>23</v>
      </c>
      <c r="J48" s="11"/>
      <c r="K48" s="25">
        <v>2890</v>
      </c>
      <c r="L48" s="21"/>
      <c r="M48" s="26"/>
      <c r="N48" s="27">
        <f t="shared" si="12"/>
        <v>2890</v>
      </c>
      <c r="O48" s="28"/>
      <c r="P48" s="69">
        <f t="shared" si="13"/>
        <v>262</v>
      </c>
      <c r="Q48" s="70">
        <f t="shared" si="14"/>
        <v>0</v>
      </c>
      <c r="R48" s="27">
        <f t="shared" si="15"/>
        <v>262</v>
      </c>
    </row>
    <row r="49" spans="1:18" x14ac:dyDescent="0.4">
      <c r="A49" s="3"/>
      <c r="B49" s="4">
        <v>45402</v>
      </c>
      <c r="C49" s="5" t="s">
        <v>4</v>
      </c>
      <c r="D49" s="95" t="s">
        <v>15</v>
      </c>
      <c r="E49" s="96"/>
      <c r="F49" s="22"/>
      <c r="G49" s="22">
        <v>2480</v>
      </c>
      <c r="I49" s="9" t="s">
        <v>23</v>
      </c>
      <c r="J49" s="11"/>
      <c r="K49" s="25">
        <v>2480</v>
      </c>
      <c r="L49" s="21"/>
      <c r="M49" s="26"/>
      <c r="N49" s="27">
        <f t="shared" si="12"/>
        <v>2480</v>
      </c>
      <c r="O49" s="28"/>
      <c r="P49" s="69">
        <f t="shared" si="13"/>
        <v>225</v>
      </c>
      <c r="Q49" s="70">
        <f t="shared" si="14"/>
        <v>0</v>
      </c>
      <c r="R49" s="27">
        <f t="shared" si="15"/>
        <v>225</v>
      </c>
    </row>
    <row r="50" spans="1:18" x14ac:dyDescent="0.4">
      <c r="A50" s="3"/>
      <c r="B50" s="4">
        <v>45402</v>
      </c>
      <c r="C50" s="5" t="s">
        <v>4</v>
      </c>
      <c r="D50" s="95" t="s">
        <v>15</v>
      </c>
      <c r="E50" s="96"/>
      <c r="F50" s="22"/>
      <c r="G50" s="22">
        <v>1950</v>
      </c>
      <c r="I50" s="9" t="s">
        <v>23</v>
      </c>
      <c r="J50" s="11"/>
      <c r="K50" s="25">
        <v>1950</v>
      </c>
      <c r="L50" s="21"/>
      <c r="M50" s="26"/>
      <c r="N50" s="27">
        <f t="shared" si="12"/>
        <v>1950</v>
      </c>
      <c r="O50" s="28"/>
      <c r="P50" s="69">
        <f t="shared" si="13"/>
        <v>177</v>
      </c>
      <c r="Q50" s="70">
        <f t="shared" si="14"/>
        <v>0</v>
      </c>
      <c r="R50" s="27">
        <f t="shared" si="15"/>
        <v>177</v>
      </c>
    </row>
    <row r="51" spans="1:18" x14ac:dyDescent="0.4">
      <c r="A51" s="3"/>
      <c r="B51" s="4">
        <v>45404</v>
      </c>
      <c r="C51" s="5" t="s">
        <v>4</v>
      </c>
      <c r="D51" s="95" t="s">
        <v>15</v>
      </c>
      <c r="E51" s="96"/>
      <c r="F51" s="22"/>
      <c r="G51" s="22">
        <v>1940</v>
      </c>
      <c r="I51" s="9" t="s">
        <v>23</v>
      </c>
      <c r="J51" s="11"/>
      <c r="K51" s="25">
        <v>1940</v>
      </c>
      <c r="L51" s="21"/>
      <c r="M51" s="26"/>
      <c r="N51" s="27">
        <f t="shared" si="12"/>
        <v>1940</v>
      </c>
      <c r="O51" s="28"/>
      <c r="P51" s="69">
        <f t="shared" si="13"/>
        <v>176</v>
      </c>
      <c r="Q51" s="70">
        <f t="shared" si="14"/>
        <v>0</v>
      </c>
      <c r="R51" s="27">
        <f t="shared" si="15"/>
        <v>176</v>
      </c>
    </row>
    <row r="52" spans="1:18" x14ac:dyDescent="0.4">
      <c r="A52" s="3"/>
      <c r="B52" s="4">
        <v>45404</v>
      </c>
      <c r="C52" s="5" t="s">
        <v>4</v>
      </c>
      <c r="D52" s="95" t="s">
        <v>15</v>
      </c>
      <c r="E52" s="96"/>
      <c r="F52" s="22"/>
      <c r="G52" s="22">
        <v>2890</v>
      </c>
      <c r="I52" s="9" t="s">
        <v>23</v>
      </c>
      <c r="J52" s="11"/>
      <c r="K52" s="25">
        <v>2890</v>
      </c>
      <c r="L52" s="21"/>
      <c r="M52" s="26"/>
      <c r="N52" s="27">
        <f t="shared" si="12"/>
        <v>2890</v>
      </c>
      <c r="O52" s="28"/>
      <c r="P52" s="69">
        <f t="shared" si="13"/>
        <v>262</v>
      </c>
      <c r="Q52" s="70">
        <f t="shared" si="14"/>
        <v>0</v>
      </c>
      <c r="R52" s="27">
        <f t="shared" si="15"/>
        <v>262</v>
      </c>
    </row>
    <row r="53" spans="1:18" x14ac:dyDescent="0.4">
      <c r="A53" s="3"/>
      <c r="B53" s="4">
        <v>45408</v>
      </c>
      <c r="C53" s="5" t="s">
        <v>4</v>
      </c>
      <c r="D53" s="95" t="s">
        <v>15</v>
      </c>
      <c r="E53" s="96"/>
      <c r="F53" s="22"/>
      <c r="G53" s="22">
        <v>2890</v>
      </c>
      <c r="I53" s="9" t="s">
        <v>23</v>
      </c>
      <c r="J53" s="11"/>
      <c r="K53" s="25">
        <v>2890</v>
      </c>
      <c r="L53" s="21"/>
      <c r="M53" s="26"/>
      <c r="N53" s="27">
        <f t="shared" si="12"/>
        <v>2890</v>
      </c>
      <c r="O53" s="28"/>
      <c r="P53" s="69">
        <f t="shared" si="13"/>
        <v>262</v>
      </c>
      <c r="Q53" s="70">
        <f t="shared" si="14"/>
        <v>0</v>
      </c>
      <c r="R53" s="27">
        <f t="shared" si="15"/>
        <v>262</v>
      </c>
    </row>
    <row r="54" spans="1:18" x14ac:dyDescent="0.4">
      <c r="A54" s="3"/>
      <c r="B54" s="4">
        <v>45408</v>
      </c>
      <c r="C54" s="5" t="s">
        <v>4</v>
      </c>
      <c r="D54" s="95" t="s">
        <v>15</v>
      </c>
      <c r="E54" s="96"/>
      <c r="F54" s="22"/>
      <c r="G54" s="22">
        <v>1940</v>
      </c>
      <c r="I54" s="9" t="s">
        <v>23</v>
      </c>
      <c r="J54" s="11"/>
      <c r="K54" s="25">
        <v>1940</v>
      </c>
      <c r="L54" s="21"/>
      <c r="M54" s="26"/>
      <c r="N54" s="27">
        <f t="shared" si="12"/>
        <v>1940</v>
      </c>
      <c r="O54" s="28"/>
      <c r="P54" s="69">
        <f t="shared" si="13"/>
        <v>176</v>
      </c>
      <c r="Q54" s="70">
        <f t="shared" si="14"/>
        <v>0</v>
      </c>
      <c r="R54" s="27">
        <f t="shared" si="15"/>
        <v>176</v>
      </c>
    </row>
    <row r="55" spans="1:18" x14ac:dyDescent="0.4">
      <c r="A55" s="3"/>
      <c r="B55" s="4">
        <v>45425</v>
      </c>
      <c r="C55" s="5" t="s">
        <v>4</v>
      </c>
      <c r="D55" s="95" t="s">
        <v>14</v>
      </c>
      <c r="E55" s="96"/>
      <c r="F55" s="22"/>
      <c r="G55" s="22">
        <v>856</v>
      </c>
      <c r="I55" s="9" t="s">
        <v>23</v>
      </c>
      <c r="J55" s="11"/>
      <c r="K55" s="25"/>
      <c r="L55" s="21">
        <v>856</v>
      </c>
      <c r="M55" s="26"/>
      <c r="N55" s="27">
        <f t="shared" si="12"/>
        <v>856</v>
      </c>
      <c r="O55" s="28"/>
      <c r="P55" s="69">
        <f t="shared" si="13"/>
        <v>0</v>
      </c>
      <c r="Q55" s="70">
        <f t="shared" si="14"/>
        <v>63</v>
      </c>
      <c r="R55" s="27">
        <f t="shared" si="15"/>
        <v>63</v>
      </c>
    </row>
    <row r="56" spans="1:18" x14ac:dyDescent="0.4">
      <c r="A56" s="3"/>
      <c r="B56" s="4">
        <v>45426</v>
      </c>
      <c r="C56" s="5" t="s">
        <v>4</v>
      </c>
      <c r="D56" s="95" t="s">
        <v>14</v>
      </c>
      <c r="E56" s="96"/>
      <c r="F56" s="22"/>
      <c r="G56" s="22">
        <v>892</v>
      </c>
      <c r="I56" s="9" t="s">
        <v>23</v>
      </c>
      <c r="J56" s="11"/>
      <c r="K56" s="25"/>
      <c r="L56" s="21">
        <v>892</v>
      </c>
      <c r="M56" s="26"/>
      <c r="N56" s="27">
        <f t="shared" si="12"/>
        <v>892</v>
      </c>
      <c r="O56" s="28"/>
      <c r="P56" s="69">
        <f t="shared" si="13"/>
        <v>0</v>
      </c>
      <c r="Q56" s="70">
        <f t="shared" si="14"/>
        <v>66</v>
      </c>
      <c r="R56" s="27">
        <f t="shared" si="15"/>
        <v>66</v>
      </c>
    </row>
    <row r="57" spans="1:18" x14ac:dyDescent="0.4">
      <c r="A57" s="3"/>
      <c r="B57" s="4">
        <v>45426</v>
      </c>
      <c r="C57" s="5" t="s">
        <v>40</v>
      </c>
      <c r="D57" s="95" t="s">
        <v>47</v>
      </c>
      <c r="E57" s="96"/>
      <c r="F57" s="22"/>
      <c r="G57" s="22">
        <v>38522</v>
      </c>
      <c r="I57" s="9" t="s">
        <v>23</v>
      </c>
      <c r="J57" s="11"/>
      <c r="K57" s="25">
        <v>38522</v>
      </c>
      <c r="L57" s="21"/>
      <c r="M57" s="29"/>
      <c r="N57" s="27">
        <f t="shared" si="12"/>
        <v>38522</v>
      </c>
      <c r="O57" s="28"/>
      <c r="P57" s="69">
        <f t="shared" si="13"/>
        <v>3502</v>
      </c>
      <c r="Q57" s="70">
        <f t="shared" si="14"/>
        <v>0</v>
      </c>
      <c r="R57" s="27">
        <f t="shared" si="15"/>
        <v>3502</v>
      </c>
    </row>
    <row r="58" spans="1:18" x14ac:dyDescent="0.4">
      <c r="A58" s="3"/>
      <c r="B58" s="4">
        <v>45427</v>
      </c>
      <c r="C58" s="5" t="s">
        <v>4</v>
      </c>
      <c r="D58" s="95" t="s">
        <v>14</v>
      </c>
      <c r="E58" s="96"/>
      <c r="F58" s="22"/>
      <c r="G58" s="22">
        <v>911</v>
      </c>
      <c r="I58" s="9" t="s">
        <v>23</v>
      </c>
      <c r="J58" s="11"/>
      <c r="K58" s="25"/>
      <c r="L58" s="21">
        <v>911</v>
      </c>
      <c r="M58" s="26"/>
      <c r="N58" s="27">
        <f t="shared" si="12"/>
        <v>911</v>
      </c>
      <c r="O58" s="28"/>
      <c r="P58" s="69">
        <f t="shared" si="13"/>
        <v>0</v>
      </c>
      <c r="Q58" s="70">
        <f t="shared" si="14"/>
        <v>67</v>
      </c>
      <c r="R58" s="27">
        <f t="shared" si="15"/>
        <v>67</v>
      </c>
    </row>
    <row r="59" spans="1:18" x14ac:dyDescent="0.4">
      <c r="A59" s="3"/>
      <c r="B59" s="4">
        <v>45427</v>
      </c>
      <c r="C59" s="5" t="s">
        <v>40</v>
      </c>
      <c r="D59" s="95" t="s">
        <v>47</v>
      </c>
      <c r="E59" s="96"/>
      <c r="F59" s="22"/>
      <c r="G59" s="22">
        <v>2376</v>
      </c>
      <c r="I59" s="9" t="s">
        <v>23</v>
      </c>
      <c r="J59" s="11"/>
      <c r="K59" s="25">
        <v>2376</v>
      </c>
      <c r="L59" s="21"/>
      <c r="M59" s="26"/>
      <c r="N59" s="27">
        <f t="shared" si="12"/>
        <v>2376</v>
      </c>
      <c r="O59" s="28"/>
      <c r="P59" s="69">
        <f t="shared" si="13"/>
        <v>216</v>
      </c>
      <c r="Q59" s="70">
        <f t="shared" si="14"/>
        <v>0</v>
      </c>
      <c r="R59" s="27">
        <f t="shared" si="15"/>
        <v>216</v>
      </c>
    </row>
    <row r="60" spans="1:18" x14ac:dyDescent="0.4">
      <c r="A60" s="3"/>
      <c r="B60" s="4">
        <v>45428</v>
      </c>
      <c r="C60" s="5" t="s">
        <v>4</v>
      </c>
      <c r="D60" s="95" t="s">
        <v>14</v>
      </c>
      <c r="E60" s="96"/>
      <c r="F60" s="22"/>
      <c r="G60" s="22">
        <v>975</v>
      </c>
      <c r="I60" s="9" t="s">
        <v>23</v>
      </c>
      <c r="J60" s="11"/>
      <c r="K60" s="25"/>
      <c r="L60" s="21">
        <v>975</v>
      </c>
      <c r="M60" s="26"/>
      <c r="N60" s="27">
        <f t="shared" si="12"/>
        <v>975</v>
      </c>
      <c r="O60" s="28"/>
      <c r="P60" s="69">
        <f t="shared" si="13"/>
        <v>0</v>
      </c>
      <c r="Q60" s="70">
        <f t="shared" si="14"/>
        <v>72</v>
      </c>
      <c r="R60" s="27">
        <f t="shared" si="15"/>
        <v>72</v>
      </c>
    </row>
    <row r="61" spans="1:18" x14ac:dyDescent="0.4">
      <c r="A61" s="3"/>
      <c r="B61" s="4"/>
      <c r="C61" s="5"/>
      <c r="D61" s="95" t="s">
        <v>59</v>
      </c>
      <c r="E61" s="96"/>
      <c r="F61" s="22"/>
      <c r="G61" s="22"/>
      <c r="I61" s="9"/>
      <c r="J61" s="11"/>
      <c r="K61" s="25"/>
      <c r="L61" s="21"/>
      <c r="M61" s="26"/>
      <c r="N61" s="27" t="str">
        <f t="shared" ref="N61:N237" si="16">IF(K61+L61+M61=0,"",K61+L61+M61)</f>
        <v/>
      </c>
    </row>
    <row r="62" spans="1:18" x14ac:dyDescent="0.4">
      <c r="A62" s="3" t="s">
        <v>54</v>
      </c>
      <c r="B62" s="4">
        <v>45382</v>
      </c>
      <c r="C62" s="5" t="s">
        <v>4</v>
      </c>
      <c r="D62" s="95" t="s">
        <v>55</v>
      </c>
      <c r="E62" s="96"/>
      <c r="F62" s="20"/>
      <c r="G62" s="21">
        <v>600</v>
      </c>
      <c r="H62" s="1"/>
      <c r="I62" s="9" t="s">
        <v>23</v>
      </c>
      <c r="J62" s="11"/>
      <c r="K62" s="25">
        <v>600</v>
      </c>
      <c r="L62" s="21"/>
      <c r="M62" s="26"/>
      <c r="N62" s="27">
        <f t="shared" si="16"/>
        <v>600</v>
      </c>
      <c r="O62" s="28"/>
      <c r="P62" s="69">
        <f t="shared" ref="P62:P93" si="17">ROUNDDOWN($K62/110*10,0)</f>
        <v>54</v>
      </c>
      <c r="Q62" s="70">
        <f t="shared" ref="Q62:Q93" si="18">ROUNDDOWN($L62/108*8,0)</f>
        <v>0</v>
      </c>
      <c r="R62" s="27">
        <f t="shared" ref="R62:R93" si="19">P62+Q62</f>
        <v>54</v>
      </c>
    </row>
    <row r="63" spans="1:18" x14ac:dyDescent="0.4">
      <c r="A63" s="3" t="s">
        <v>54</v>
      </c>
      <c r="B63" s="4">
        <v>45382</v>
      </c>
      <c r="C63" s="5" t="s">
        <v>4</v>
      </c>
      <c r="D63" s="95" t="s">
        <v>56</v>
      </c>
      <c r="E63" s="96"/>
      <c r="F63" s="22"/>
      <c r="G63" s="22">
        <v>1977</v>
      </c>
      <c r="I63" s="9" t="s">
        <v>23</v>
      </c>
      <c r="J63" s="11"/>
      <c r="K63" s="25">
        <v>1570</v>
      </c>
      <c r="L63" s="21">
        <v>407</v>
      </c>
      <c r="M63" s="26"/>
      <c r="N63" s="27">
        <f t="shared" si="16"/>
        <v>1977</v>
      </c>
      <c r="O63" s="28"/>
      <c r="P63" s="69">
        <f t="shared" si="17"/>
        <v>142</v>
      </c>
      <c r="Q63" s="70">
        <f t="shared" si="18"/>
        <v>30</v>
      </c>
      <c r="R63" s="27">
        <f t="shared" si="19"/>
        <v>172</v>
      </c>
    </row>
    <row r="64" spans="1:18" x14ac:dyDescent="0.4">
      <c r="A64" s="3" t="s">
        <v>54</v>
      </c>
      <c r="B64" s="4">
        <v>45382</v>
      </c>
      <c r="C64" s="5" t="s">
        <v>4</v>
      </c>
      <c r="D64" s="95" t="s">
        <v>41</v>
      </c>
      <c r="E64" s="96"/>
      <c r="F64" s="22"/>
      <c r="G64" s="22">
        <v>5490</v>
      </c>
      <c r="I64" s="9" t="s">
        <v>23</v>
      </c>
      <c r="J64" s="11"/>
      <c r="K64" s="25">
        <v>5490</v>
      </c>
      <c r="L64" s="21"/>
      <c r="M64" s="26"/>
      <c r="N64" s="27">
        <f t="shared" si="16"/>
        <v>5490</v>
      </c>
      <c r="O64" s="28"/>
      <c r="P64" s="69">
        <f t="shared" si="17"/>
        <v>499</v>
      </c>
      <c r="Q64" s="70">
        <f t="shared" si="18"/>
        <v>0</v>
      </c>
      <c r="R64" s="27">
        <f t="shared" si="19"/>
        <v>499</v>
      </c>
    </row>
    <row r="65" spans="1:18" x14ac:dyDescent="0.4">
      <c r="A65" s="3" t="s">
        <v>54</v>
      </c>
      <c r="B65" s="4">
        <v>45382</v>
      </c>
      <c r="C65" s="5" t="s">
        <v>4</v>
      </c>
      <c r="D65" s="95" t="s">
        <v>56</v>
      </c>
      <c r="E65" s="96"/>
      <c r="F65" s="22"/>
      <c r="G65" s="22">
        <v>1034</v>
      </c>
      <c r="I65" s="9" t="s">
        <v>23</v>
      </c>
      <c r="J65" s="11"/>
      <c r="K65" s="25">
        <v>1034</v>
      </c>
      <c r="L65" s="21"/>
      <c r="M65" s="26"/>
      <c r="N65" s="27">
        <f t="shared" si="16"/>
        <v>1034</v>
      </c>
      <c r="O65" s="28"/>
      <c r="P65" s="69">
        <f t="shared" si="17"/>
        <v>94</v>
      </c>
      <c r="Q65" s="70">
        <f t="shared" si="18"/>
        <v>0</v>
      </c>
      <c r="R65" s="27">
        <f t="shared" si="19"/>
        <v>94</v>
      </c>
    </row>
    <row r="66" spans="1:18" x14ac:dyDescent="0.4">
      <c r="A66" s="3" t="s">
        <v>54</v>
      </c>
      <c r="B66" s="4">
        <v>45382</v>
      </c>
      <c r="C66" s="5" t="s">
        <v>4</v>
      </c>
      <c r="D66" s="95" t="s">
        <v>56</v>
      </c>
      <c r="E66" s="96"/>
      <c r="F66" s="22"/>
      <c r="G66" s="22">
        <v>2508</v>
      </c>
      <c r="I66" s="9" t="s">
        <v>23</v>
      </c>
      <c r="J66" s="11"/>
      <c r="K66" s="25">
        <v>2508</v>
      </c>
      <c r="L66" s="21"/>
      <c r="M66" s="26"/>
      <c r="N66" s="27">
        <f t="shared" si="16"/>
        <v>2508</v>
      </c>
      <c r="O66" s="28"/>
      <c r="P66" s="69">
        <f t="shared" si="17"/>
        <v>228</v>
      </c>
      <c r="Q66" s="70">
        <f t="shared" si="18"/>
        <v>0</v>
      </c>
      <c r="R66" s="27">
        <f t="shared" si="19"/>
        <v>228</v>
      </c>
    </row>
    <row r="67" spans="1:18" x14ac:dyDescent="0.4">
      <c r="A67" s="3" t="s">
        <v>54</v>
      </c>
      <c r="B67" s="4">
        <v>45383</v>
      </c>
      <c r="C67" s="5" t="s">
        <v>4</v>
      </c>
      <c r="D67" s="95" t="s">
        <v>56</v>
      </c>
      <c r="E67" s="96"/>
      <c r="F67" s="22"/>
      <c r="G67" s="22">
        <v>1014</v>
      </c>
      <c r="I67" s="9" t="s">
        <v>23</v>
      </c>
      <c r="J67" s="11"/>
      <c r="K67" s="25">
        <v>303</v>
      </c>
      <c r="L67" s="21">
        <v>711</v>
      </c>
      <c r="M67" s="26"/>
      <c r="N67" s="27">
        <f t="shared" si="16"/>
        <v>1014</v>
      </c>
      <c r="O67" s="28"/>
      <c r="P67" s="69">
        <f t="shared" si="17"/>
        <v>27</v>
      </c>
      <c r="Q67" s="70">
        <f t="shared" si="18"/>
        <v>52</v>
      </c>
      <c r="R67" s="27">
        <f t="shared" si="19"/>
        <v>79</v>
      </c>
    </row>
    <row r="68" spans="1:18" x14ac:dyDescent="0.4">
      <c r="A68" s="3" t="s">
        <v>54</v>
      </c>
      <c r="B68" s="4">
        <v>45383</v>
      </c>
      <c r="C68" s="5" t="s">
        <v>4</v>
      </c>
      <c r="D68" s="95" t="s">
        <v>56</v>
      </c>
      <c r="E68" s="96"/>
      <c r="F68" s="22"/>
      <c r="G68" s="22">
        <v>1800</v>
      </c>
      <c r="I68" s="9" t="s">
        <v>29</v>
      </c>
      <c r="J68" s="11"/>
      <c r="K68" s="25">
        <v>1800</v>
      </c>
      <c r="L68" s="21"/>
      <c r="M68" s="26"/>
      <c r="N68" s="27">
        <f>IF(K68+L68+M68=0,"",K68+L68+M68)</f>
        <v>1800</v>
      </c>
      <c r="O68" s="28"/>
      <c r="P68" s="69">
        <f>ROUNDDOWN($K68/110*10,0)</f>
        <v>163</v>
      </c>
      <c r="Q68" s="70">
        <f>ROUNDDOWN($L68/108*8,0)</f>
        <v>0</v>
      </c>
      <c r="R68" s="27">
        <f>P68+Q68</f>
        <v>163</v>
      </c>
    </row>
    <row r="69" spans="1:18" x14ac:dyDescent="0.4">
      <c r="A69" s="3" t="s">
        <v>54</v>
      </c>
      <c r="B69" s="4">
        <v>45384</v>
      </c>
      <c r="C69" s="5" t="s">
        <v>4</v>
      </c>
      <c r="D69" s="95" t="s">
        <v>56</v>
      </c>
      <c r="E69" s="96"/>
      <c r="F69" s="22"/>
      <c r="G69" s="22">
        <v>1260</v>
      </c>
      <c r="I69" s="9" t="s">
        <v>23</v>
      </c>
      <c r="J69" s="11"/>
      <c r="K69" s="25"/>
      <c r="L69" s="21">
        <v>1260</v>
      </c>
      <c r="M69" s="26"/>
      <c r="N69" s="27">
        <f t="shared" si="16"/>
        <v>1260</v>
      </c>
      <c r="O69" s="28"/>
      <c r="P69" s="69">
        <f t="shared" si="17"/>
        <v>0</v>
      </c>
      <c r="Q69" s="70">
        <f t="shared" si="18"/>
        <v>93</v>
      </c>
      <c r="R69" s="27">
        <f t="shared" si="19"/>
        <v>93</v>
      </c>
    </row>
    <row r="70" spans="1:18" x14ac:dyDescent="0.4">
      <c r="A70" s="3" t="s">
        <v>54</v>
      </c>
      <c r="B70" s="4">
        <v>45384</v>
      </c>
      <c r="C70" s="5" t="s">
        <v>57</v>
      </c>
      <c r="D70" s="95" t="s">
        <v>58</v>
      </c>
      <c r="E70" s="96"/>
      <c r="F70" s="22"/>
      <c r="G70" s="22">
        <v>24101</v>
      </c>
      <c r="I70" s="9" t="s">
        <v>23</v>
      </c>
      <c r="J70" s="11"/>
      <c r="K70" s="25">
        <v>24101</v>
      </c>
      <c r="L70" s="21"/>
      <c r="M70" s="26"/>
      <c r="N70" s="27">
        <f t="shared" si="16"/>
        <v>24101</v>
      </c>
      <c r="O70" s="28"/>
      <c r="P70" s="69">
        <f t="shared" si="17"/>
        <v>2191</v>
      </c>
      <c r="Q70" s="70">
        <f t="shared" si="18"/>
        <v>0</v>
      </c>
      <c r="R70" s="27">
        <f t="shared" si="19"/>
        <v>2191</v>
      </c>
    </row>
    <row r="71" spans="1:18" x14ac:dyDescent="0.4">
      <c r="A71" s="3" t="s">
        <v>54</v>
      </c>
      <c r="B71" s="4">
        <v>45385</v>
      </c>
      <c r="C71" s="5" t="s">
        <v>4</v>
      </c>
      <c r="D71" s="95" t="s">
        <v>56</v>
      </c>
      <c r="E71" s="96"/>
      <c r="F71" s="22"/>
      <c r="G71" s="22">
        <v>686</v>
      </c>
      <c r="I71" s="9" t="s">
        <v>23</v>
      </c>
      <c r="J71" s="11"/>
      <c r="K71" s="25"/>
      <c r="L71" s="21">
        <v>686</v>
      </c>
      <c r="M71" s="26"/>
      <c r="N71" s="27">
        <f t="shared" si="16"/>
        <v>686</v>
      </c>
      <c r="O71" s="28"/>
      <c r="P71" s="69">
        <f t="shared" si="17"/>
        <v>0</v>
      </c>
      <c r="Q71" s="70">
        <f t="shared" si="18"/>
        <v>50</v>
      </c>
      <c r="R71" s="27">
        <f t="shared" si="19"/>
        <v>50</v>
      </c>
    </row>
    <row r="72" spans="1:18" x14ac:dyDescent="0.4">
      <c r="A72" s="3" t="s">
        <v>54</v>
      </c>
      <c r="B72" s="4">
        <v>45385</v>
      </c>
      <c r="C72" s="5" t="s">
        <v>4</v>
      </c>
      <c r="D72" s="95" t="s">
        <v>56</v>
      </c>
      <c r="E72" s="96"/>
      <c r="F72" s="22"/>
      <c r="G72" s="22">
        <v>2585</v>
      </c>
      <c r="I72" s="9" t="s">
        <v>23</v>
      </c>
      <c r="J72" s="11"/>
      <c r="K72" s="25">
        <v>2585</v>
      </c>
      <c r="L72" s="21"/>
      <c r="M72" s="26"/>
      <c r="N72" s="27">
        <f t="shared" si="16"/>
        <v>2585</v>
      </c>
      <c r="O72" s="28"/>
      <c r="P72" s="69">
        <f t="shared" si="17"/>
        <v>235</v>
      </c>
      <c r="Q72" s="70">
        <f t="shared" si="18"/>
        <v>0</v>
      </c>
      <c r="R72" s="27">
        <f t="shared" si="19"/>
        <v>235</v>
      </c>
    </row>
    <row r="73" spans="1:18" x14ac:dyDescent="0.4">
      <c r="A73" s="3" t="s">
        <v>54</v>
      </c>
      <c r="B73" s="4">
        <v>45386</v>
      </c>
      <c r="C73" s="5" t="s">
        <v>4</v>
      </c>
      <c r="D73" s="95" t="s">
        <v>56</v>
      </c>
      <c r="E73" s="96"/>
      <c r="F73" s="22"/>
      <c r="G73" s="22">
        <v>455</v>
      </c>
      <c r="I73" s="9" t="s">
        <v>23</v>
      </c>
      <c r="J73" s="11"/>
      <c r="K73" s="25"/>
      <c r="L73" s="21">
        <v>455</v>
      </c>
      <c r="M73" s="29"/>
      <c r="N73" s="27">
        <f t="shared" si="16"/>
        <v>455</v>
      </c>
      <c r="O73" s="28"/>
      <c r="P73" s="69">
        <f t="shared" si="17"/>
        <v>0</v>
      </c>
      <c r="Q73" s="70">
        <f t="shared" si="18"/>
        <v>33</v>
      </c>
      <c r="R73" s="27">
        <f t="shared" si="19"/>
        <v>33</v>
      </c>
    </row>
    <row r="74" spans="1:18" x14ac:dyDescent="0.4">
      <c r="A74" s="3" t="s">
        <v>54</v>
      </c>
      <c r="B74" s="4">
        <v>45386</v>
      </c>
      <c r="C74" s="5" t="s">
        <v>4</v>
      </c>
      <c r="D74" s="95" t="s">
        <v>56</v>
      </c>
      <c r="E74" s="96"/>
      <c r="F74" s="22"/>
      <c r="G74" s="22">
        <v>1238</v>
      </c>
      <c r="I74" s="9" t="s">
        <v>23</v>
      </c>
      <c r="J74" s="11"/>
      <c r="K74" s="25">
        <v>583</v>
      </c>
      <c r="L74" s="21">
        <v>655</v>
      </c>
      <c r="M74" s="26"/>
      <c r="N74" s="27">
        <f t="shared" si="16"/>
        <v>1238</v>
      </c>
      <c r="O74" s="28"/>
      <c r="P74" s="69">
        <f t="shared" si="17"/>
        <v>53</v>
      </c>
      <c r="Q74" s="70">
        <f t="shared" si="18"/>
        <v>48</v>
      </c>
      <c r="R74" s="27">
        <f t="shared" si="19"/>
        <v>101</v>
      </c>
    </row>
    <row r="75" spans="1:18" x14ac:dyDescent="0.4">
      <c r="A75" s="3" t="s">
        <v>54</v>
      </c>
      <c r="B75" s="4">
        <v>45386</v>
      </c>
      <c r="C75" s="5" t="s">
        <v>4</v>
      </c>
      <c r="D75" s="95" t="s">
        <v>56</v>
      </c>
      <c r="E75" s="96"/>
      <c r="F75" s="22"/>
      <c r="G75" s="22">
        <v>4000</v>
      </c>
      <c r="I75" s="9" t="s">
        <v>23</v>
      </c>
      <c r="J75" s="11"/>
      <c r="K75" s="25">
        <v>4000</v>
      </c>
      <c r="L75" s="21"/>
      <c r="M75" s="26"/>
      <c r="N75" s="27">
        <f t="shared" si="16"/>
        <v>4000</v>
      </c>
      <c r="O75" s="28"/>
      <c r="P75" s="69">
        <f t="shared" si="17"/>
        <v>363</v>
      </c>
      <c r="Q75" s="70">
        <f t="shared" si="18"/>
        <v>0</v>
      </c>
      <c r="R75" s="27">
        <f t="shared" si="19"/>
        <v>363</v>
      </c>
    </row>
    <row r="76" spans="1:18" x14ac:dyDescent="0.4">
      <c r="A76" s="3" t="s">
        <v>54</v>
      </c>
      <c r="B76" s="4">
        <v>45387</v>
      </c>
      <c r="C76" s="5" t="s">
        <v>4</v>
      </c>
      <c r="D76" s="95" t="s">
        <v>56</v>
      </c>
      <c r="E76" s="96"/>
      <c r="F76" s="22"/>
      <c r="G76" s="22">
        <v>925</v>
      </c>
      <c r="I76" s="9" t="s">
        <v>23</v>
      </c>
      <c r="J76" s="11"/>
      <c r="K76" s="25"/>
      <c r="L76" s="21">
        <v>925</v>
      </c>
      <c r="M76" s="26"/>
      <c r="N76" s="27">
        <f t="shared" si="16"/>
        <v>925</v>
      </c>
      <c r="O76" s="28"/>
      <c r="P76" s="69">
        <f t="shared" si="17"/>
        <v>0</v>
      </c>
      <c r="Q76" s="70">
        <f t="shared" si="18"/>
        <v>68</v>
      </c>
      <c r="R76" s="27">
        <f t="shared" si="19"/>
        <v>68</v>
      </c>
    </row>
    <row r="77" spans="1:18" x14ac:dyDescent="0.4">
      <c r="A77" s="3" t="s">
        <v>54</v>
      </c>
      <c r="B77" s="4">
        <v>45387</v>
      </c>
      <c r="C77" s="5" t="s">
        <v>4</v>
      </c>
      <c r="D77" s="95" t="s">
        <v>56</v>
      </c>
      <c r="E77" s="96"/>
      <c r="F77" s="22"/>
      <c r="G77" s="22">
        <v>3040</v>
      </c>
      <c r="I77" s="9" t="s">
        <v>23</v>
      </c>
      <c r="J77" s="11"/>
      <c r="K77" s="25">
        <v>3040</v>
      </c>
      <c r="L77" s="21"/>
      <c r="M77" s="26"/>
      <c r="N77" s="27">
        <f t="shared" si="16"/>
        <v>3040</v>
      </c>
      <c r="O77" s="28"/>
      <c r="P77" s="69">
        <f t="shared" si="17"/>
        <v>276</v>
      </c>
      <c r="Q77" s="70">
        <f t="shared" si="18"/>
        <v>0</v>
      </c>
      <c r="R77" s="27">
        <f t="shared" si="19"/>
        <v>276</v>
      </c>
    </row>
    <row r="78" spans="1:18" x14ac:dyDescent="0.4">
      <c r="A78" s="3" t="s">
        <v>54</v>
      </c>
      <c r="B78" s="4">
        <v>45388</v>
      </c>
      <c r="C78" s="5" t="s">
        <v>4</v>
      </c>
      <c r="D78" s="95" t="s">
        <v>56</v>
      </c>
      <c r="E78" s="96"/>
      <c r="F78" s="22"/>
      <c r="G78" s="22">
        <v>2135</v>
      </c>
      <c r="I78" s="9" t="s">
        <v>23</v>
      </c>
      <c r="J78" s="11"/>
      <c r="K78" s="25">
        <v>1570</v>
      </c>
      <c r="L78" s="21">
        <v>565</v>
      </c>
      <c r="M78" s="26"/>
      <c r="N78" s="27">
        <f t="shared" si="16"/>
        <v>2135</v>
      </c>
      <c r="O78" s="28"/>
      <c r="P78" s="69">
        <f t="shared" si="17"/>
        <v>142</v>
      </c>
      <c r="Q78" s="70">
        <f t="shared" si="18"/>
        <v>41</v>
      </c>
      <c r="R78" s="27">
        <f t="shared" si="19"/>
        <v>183</v>
      </c>
    </row>
    <row r="79" spans="1:18" x14ac:dyDescent="0.4">
      <c r="A79" s="3" t="s">
        <v>54</v>
      </c>
      <c r="B79" s="4">
        <v>45388</v>
      </c>
      <c r="C79" s="5" t="s">
        <v>4</v>
      </c>
      <c r="D79" s="95" t="s">
        <v>56</v>
      </c>
      <c r="E79" s="96"/>
      <c r="F79" s="22"/>
      <c r="G79" s="22">
        <v>2708</v>
      </c>
      <c r="I79" s="9" t="s">
        <v>23</v>
      </c>
      <c r="J79" s="11"/>
      <c r="K79" s="25">
        <v>812</v>
      </c>
      <c r="L79" s="21">
        <v>1896</v>
      </c>
      <c r="M79" s="26"/>
      <c r="N79" s="27">
        <f t="shared" si="16"/>
        <v>2708</v>
      </c>
      <c r="O79" s="28"/>
      <c r="P79" s="69">
        <f t="shared" si="17"/>
        <v>73</v>
      </c>
      <c r="Q79" s="70">
        <f t="shared" si="18"/>
        <v>140</v>
      </c>
      <c r="R79" s="27">
        <f t="shared" si="19"/>
        <v>213</v>
      </c>
    </row>
    <row r="80" spans="1:18" x14ac:dyDescent="0.4">
      <c r="A80" s="3" t="s">
        <v>54</v>
      </c>
      <c r="B80" s="4">
        <v>45388</v>
      </c>
      <c r="C80" s="5" t="s">
        <v>4</v>
      </c>
      <c r="D80" s="95" t="s">
        <v>56</v>
      </c>
      <c r="E80" s="96"/>
      <c r="F80" s="22"/>
      <c r="G80" s="22">
        <v>3410</v>
      </c>
      <c r="I80" s="9" t="s">
        <v>23</v>
      </c>
      <c r="J80" s="11"/>
      <c r="K80" s="25">
        <v>3410</v>
      </c>
      <c r="L80" s="21"/>
      <c r="M80" s="26"/>
      <c r="N80" s="27">
        <f t="shared" si="16"/>
        <v>3410</v>
      </c>
      <c r="O80" s="28"/>
      <c r="P80" s="69">
        <f t="shared" si="17"/>
        <v>310</v>
      </c>
      <c r="Q80" s="70">
        <f t="shared" si="18"/>
        <v>0</v>
      </c>
      <c r="R80" s="27">
        <f t="shared" si="19"/>
        <v>310</v>
      </c>
    </row>
    <row r="81" spans="1:18" x14ac:dyDescent="0.4">
      <c r="A81" s="3" t="s">
        <v>54</v>
      </c>
      <c r="B81" s="4">
        <v>45388</v>
      </c>
      <c r="C81" s="5" t="s">
        <v>4</v>
      </c>
      <c r="D81" s="95" t="s">
        <v>56</v>
      </c>
      <c r="E81" s="96"/>
      <c r="F81" s="22"/>
      <c r="G81" s="22">
        <v>5260</v>
      </c>
      <c r="I81" s="9" t="s">
        <v>23</v>
      </c>
      <c r="J81" s="11"/>
      <c r="K81" s="25">
        <v>5260</v>
      </c>
      <c r="L81" s="21"/>
      <c r="M81" s="26"/>
      <c r="N81" s="27">
        <f t="shared" si="16"/>
        <v>5260</v>
      </c>
      <c r="O81" s="28"/>
      <c r="P81" s="69">
        <f t="shared" si="17"/>
        <v>478</v>
      </c>
      <c r="Q81" s="70">
        <f t="shared" si="18"/>
        <v>0</v>
      </c>
      <c r="R81" s="27">
        <f t="shared" si="19"/>
        <v>478</v>
      </c>
    </row>
    <row r="82" spans="1:18" x14ac:dyDescent="0.4">
      <c r="A82" s="3" t="s">
        <v>54</v>
      </c>
      <c r="B82" s="4">
        <v>45389</v>
      </c>
      <c r="C82" s="5" t="s">
        <v>4</v>
      </c>
      <c r="D82" s="95" t="s">
        <v>56</v>
      </c>
      <c r="E82" s="96"/>
      <c r="F82" s="22"/>
      <c r="G82" s="22">
        <v>1200</v>
      </c>
      <c r="I82" s="9" t="s">
        <v>29</v>
      </c>
      <c r="J82" s="11"/>
      <c r="K82" s="25">
        <v>1200</v>
      </c>
      <c r="L82" s="21"/>
      <c r="M82" s="26"/>
      <c r="N82" s="27">
        <f t="shared" si="16"/>
        <v>1200</v>
      </c>
      <c r="O82" s="28"/>
      <c r="P82" s="69">
        <f t="shared" si="17"/>
        <v>109</v>
      </c>
      <c r="Q82" s="70">
        <f t="shared" si="18"/>
        <v>0</v>
      </c>
      <c r="R82" s="27">
        <f t="shared" si="19"/>
        <v>109</v>
      </c>
    </row>
    <row r="83" spans="1:18" x14ac:dyDescent="0.4">
      <c r="A83" s="3" t="s">
        <v>54</v>
      </c>
      <c r="B83" s="4">
        <v>45390</v>
      </c>
      <c r="C83" s="5" t="s">
        <v>4</v>
      </c>
      <c r="D83" s="95" t="s">
        <v>56</v>
      </c>
      <c r="E83" s="96"/>
      <c r="F83" s="22"/>
      <c r="G83" s="22">
        <v>1361</v>
      </c>
      <c r="I83" s="9" t="s">
        <v>23</v>
      </c>
      <c r="J83" s="11"/>
      <c r="K83" s="25"/>
      <c r="L83" s="21">
        <v>1361</v>
      </c>
      <c r="M83" s="26"/>
      <c r="N83" s="27">
        <f t="shared" si="16"/>
        <v>1361</v>
      </c>
      <c r="O83" s="28"/>
      <c r="P83" s="69">
        <f t="shared" si="17"/>
        <v>0</v>
      </c>
      <c r="Q83" s="70">
        <f t="shared" si="18"/>
        <v>100</v>
      </c>
      <c r="R83" s="27">
        <f t="shared" si="19"/>
        <v>100</v>
      </c>
    </row>
    <row r="84" spans="1:18" x14ac:dyDescent="0.4">
      <c r="A84" s="3" t="s">
        <v>54</v>
      </c>
      <c r="B84" s="4">
        <v>45391</v>
      </c>
      <c r="C84" s="5" t="s">
        <v>4</v>
      </c>
      <c r="D84" s="95" t="s">
        <v>56</v>
      </c>
      <c r="E84" s="96"/>
      <c r="F84" s="22"/>
      <c r="G84" s="22">
        <v>893</v>
      </c>
      <c r="I84" s="9" t="s">
        <v>23</v>
      </c>
      <c r="J84" s="11"/>
      <c r="K84" s="25"/>
      <c r="L84" s="21">
        <v>893</v>
      </c>
      <c r="M84" s="26"/>
      <c r="N84" s="27">
        <f t="shared" si="16"/>
        <v>893</v>
      </c>
      <c r="O84" s="28"/>
      <c r="P84" s="69">
        <f t="shared" si="17"/>
        <v>0</v>
      </c>
      <c r="Q84" s="70">
        <f t="shared" si="18"/>
        <v>66</v>
      </c>
      <c r="R84" s="27">
        <f t="shared" si="19"/>
        <v>66</v>
      </c>
    </row>
    <row r="85" spans="1:18" x14ac:dyDescent="0.4">
      <c r="A85" s="3" t="s">
        <v>54</v>
      </c>
      <c r="B85" s="4">
        <v>45392</v>
      </c>
      <c r="C85" s="5" t="s">
        <v>4</v>
      </c>
      <c r="D85" s="95" t="s">
        <v>56</v>
      </c>
      <c r="E85" s="96"/>
      <c r="F85" s="22"/>
      <c r="G85" s="22">
        <v>787</v>
      </c>
      <c r="I85" s="9" t="s">
        <v>23</v>
      </c>
      <c r="J85" s="11"/>
      <c r="K85" s="25"/>
      <c r="L85" s="21">
        <v>787</v>
      </c>
      <c r="M85" s="26"/>
      <c r="N85" s="27">
        <f t="shared" si="16"/>
        <v>787</v>
      </c>
      <c r="O85" s="28"/>
      <c r="P85" s="69">
        <f t="shared" si="17"/>
        <v>0</v>
      </c>
      <c r="Q85" s="70">
        <f t="shared" si="18"/>
        <v>58</v>
      </c>
      <c r="R85" s="27">
        <f t="shared" si="19"/>
        <v>58</v>
      </c>
    </row>
    <row r="86" spans="1:18" x14ac:dyDescent="0.4">
      <c r="A86" s="3" t="s">
        <v>54</v>
      </c>
      <c r="B86" s="4">
        <v>45393</v>
      </c>
      <c r="C86" s="5" t="s">
        <v>4</v>
      </c>
      <c r="D86" s="95" t="s">
        <v>56</v>
      </c>
      <c r="E86" s="96"/>
      <c r="F86" s="22"/>
      <c r="G86" s="22">
        <v>1341</v>
      </c>
      <c r="I86" s="9" t="s">
        <v>23</v>
      </c>
      <c r="J86" s="11"/>
      <c r="K86" s="25">
        <v>583</v>
      </c>
      <c r="L86" s="21">
        <v>758</v>
      </c>
      <c r="M86" s="26"/>
      <c r="N86" s="27">
        <f t="shared" si="16"/>
        <v>1341</v>
      </c>
      <c r="O86" s="28"/>
      <c r="P86" s="69">
        <f t="shared" si="17"/>
        <v>53</v>
      </c>
      <c r="Q86" s="70">
        <f t="shared" si="18"/>
        <v>56</v>
      </c>
      <c r="R86" s="27">
        <f t="shared" si="19"/>
        <v>109</v>
      </c>
    </row>
    <row r="87" spans="1:18" x14ac:dyDescent="0.4">
      <c r="A87" s="3" t="s">
        <v>54</v>
      </c>
      <c r="B87" s="4">
        <v>45394</v>
      </c>
      <c r="C87" s="5" t="s">
        <v>4</v>
      </c>
      <c r="D87" s="95" t="s">
        <v>56</v>
      </c>
      <c r="E87" s="96"/>
      <c r="F87" s="22"/>
      <c r="G87" s="22">
        <v>14245</v>
      </c>
      <c r="I87" s="9" t="s">
        <v>23</v>
      </c>
      <c r="J87" s="11"/>
      <c r="K87" s="25">
        <v>14245</v>
      </c>
      <c r="L87" s="21"/>
      <c r="M87" s="26"/>
      <c r="N87" s="27">
        <f t="shared" si="16"/>
        <v>14245</v>
      </c>
      <c r="O87" s="28"/>
      <c r="P87" s="69">
        <f t="shared" si="17"/>
        <v>1295</v>
      </c>
      <c r="Q87" s="70">
        <f t="shared" si="18"/>
        <v>0</v>
      </c>
      <c r="R87" s="27">
        <f t="shared" si="19"/>
        <v>1295</v>
      </c>
    </row>
    <row r="88" spans="1:18" x14ac:dyDescent="0.4">
      <c r="A88" s="3" t="s">
        <v>54</v>
      </c>
      <c r="B88" s="4">
        <v>45394</v>
      </c>
      <c r="C88" s="5" t="s">
        <v>4</v>
      </c>
      <c r="D88" s="95" t="s">
        <v>56</v>
      </c>
      <c r="E88" s="96"/>
      <c r="F88" s="22"/>
      <c r="G88" s="22">
        <v>915</v>
      </c>
      <c r="I88" s="9" t="s">
        <v>23</v>
      </c>
      <c r="J88" s="11"/>
      <c r="K88" s="25"/>
      <c r="L88" s="21">
        <v>915</v>
      </c>
      <c r="M88" s="26"/>
      <c r="N88" s="27">
        <f t="shared" si="16"/>
        <v>915</v>
      </c>
      <c r="O88" s="28"/>
      <c r="P88" s="69">
        <f t="shared" si="17"/>
        <v>0</v>
      </c>
      <c r="Q88" s="70">
        <f t="shared" si="18"/>
        <v>67</v>
      </c>
      <c r="R88" s="27">
        <f t="shared" si="19"/>
        <v>67</v>
      </c>
    </row>
    <row r="89" spans="1:18" x14ac:dyDescent="0.4">
      <c r="A89" s="3" t="s">
        <v>54</v>
      </c>
      <c r="B89" s="4">
        <v>45395</v>
      </c>
      <c r="C89" s="5" t="s">
        <v>4</v>
      </c>
      <c r="D89" s="95" t="s">
        <v>56</v>
      </c>
      <c r="E89" s="96"/>
      <c r="F89" s="22"/>
      <c r="G89" s="22">
        <v>891</v>
      </c>
      <c r="I89" s="9" t="s">
        <v>23</v>
      </c>
      <c r="J89" s="11"/>
      <c r="K89" s="25"/>
      <c r="L89" s="21">
        <v>891</v>
      </c>
      <c r="M89" s="26"/>
      <c r="N89" s="27">
        <f t="shared" si="16"/>
        <v>891</v>
      </c>
      <c r="O89" s="28"/>
      <c r="P89" s="69">
        <f t="shared" si="17"/>
        <v>0</v>
      </c>
      <c r="Q89" s="70">
        <f t="shared" si="18"/>
        <v>66</v>
      </c>
      <c r="R89" s="27">
        <f t="shared" si="19"/>
        <v>66</v>
      </c>
    </row>
    <row r="90" spans="1:18" x14ac:dyDescent="0.4">
      <c r="A90" s="3" t="s">
        <v>54</v>
      </c>
      <c r="B90" s="4">
        <v>45395</v>
      </c>
      <c r="C90" s="5" t="s">
        <v>4</v>
      </c>
      <c r="D90" s="95" t="s">
        <v>56</v>
      </c>
      <c r="E90" s="96"/>
      <c r="F90" s="22"/>
      <c r="G90" s="22">
        <v>1004</v>
      </c>
      <c r="I90" s="9" t="s">
        <v>23</v>
      </c>
      <c r="J90" s="11"/>
      <c r="K90" s="25">
        <v>1004</v>
      </c>
      <c r="L90" s="21"/>
      <c r="M90" s="26"/>
      <c r="N90" s="27">
        <f t="shared" si="16"/>
        <v>1004</v>
      </c>
      <c r="O90" s="28"/>
      <c r="P90" s="69">
        <f t="shared" si="17"/>
        <v>91</v>
      </c>
      <c r="Q90" s="70">
        <f t="shared" si="18"/>
        <v>0</v>
      </c>
      <c r="R90" s="27">
        <f t="shared" si="19"/>
        <v>91</v>
      </c>
    </row>
    <row r="91" spans="1:18" x14ac:dyDescent="0.4">
      <c r="A91" s="3" t="s">
        <v>54</v>
      </c>
      <c r="B91" s="4">
        <v>45396</v>
      </c>
      <c r="C91" s="5" t="s">
        <v>4</v>
      </c>
      <c r="D91" s="95" t="s">
        <v>56</v>
      </c>
      <c r="E91" s="96"/>
      <c r="F91" s="22"/>
      <c r="G91" s="22">
        <v>2420</v>
      </c>
      <c r="I91" s="9" t="s">
        <v>23</v>
      </c>
      <c r="J91" s="11"/>
      <c r="K91" s="25">
        <v>2420</v>
      </c>
      <c r="L91" s="21"/>
      <c r="M91" s="26"/>
      <c r="N91" s="27">
        <f t="shared" si="16"/>
        <v>2420</v>
      </c>
      <c r="O91" s="28"/>
      <c r="P91" s="69">
        <f t="shared" si="17"/>
        <v>220</v>
      </c>
      <c r="Q91" s="70">
        <f t="shared" si="18"/>
        <v>0</v>
      </c>
      <c r="R91" s="27">
        <f t="shared" si="19"/>
        <v>220</v>
      </c>
    </row>
    <row r="92" spans="1:18" x14ac:dyDescent="0.4">
      <c r="A92" s="3" t="s">
        <v>54</v>
      </c>
      <c r="B92" s="4">
        <v>45397</v>
      </c>
      <c r="C92" s="5" t="s">
        <v>4</v>
      </c>
      <c r="D92" s="95" t="s">
        <v>56</v>
      </c>
      <c r="E92" s="96"/>
      <c r="F92" s="22"/>
      <c r="G92" s="22">
        <v>2058</v>
      </c>
      <c r="I92" s="9" t="s">
        <v>23</v>
      </c>
      <c r="J92" s="11"/>
      <c r="K92" s="25">
        <v>895</v>
      </c>
      <c r="L92" s="21">
        <v>1163</v>
      </c>
      <c r="M92" s="26"/>
      <c r="N92" s="27">
        <f t="shared" si="16"/>
        <v>2058</v>
      </c>
      <c r="O92" s="28"/>
      <c r="P92" s="69">
        <f t="shared" si="17"/>
        <v>81</v>
      </c>
      <c r="Q92" s="70">
        <f t="shared" si="18"/>
        <v>86</v>
      </c>
      <c r="R92" s="27">
        <f t="shared" si="19"/>
        <v>167</v>
      </c>
    </row>
    <row r="93" spans="1:18" x14ac:dyDescent="0.4">
      <c r="A93" s="3" t="s">
        <v>54</v>
      </c>
      <c r="B93" s="4">
        <v>45397</v>
      </c>
      <c r="C93" s="5" t="s">
        <v>4</v>
      </c>
      <c r="D93" s="95" t="s">
        <v>56</v>
      </c>
      <c r="E93" s="96"/>
      <c r="F93" s="22"/>
      <c r="G93" s="22">
        <v>2051</v>
      </c>
      <c r="I93" s="9" t="s">
        <v>23</v>
      </c>
      <c r="J93" s="11"/>
      <c r="K93" s="25"/>
      <c r="L93" s="21">
        <v>2051</v>
      </c>
      <c r="M93" s="26"/>
      <c r="N93" s="27">
        <f t="shared" si="16"/>
        <v>2051</v>
      </c>
      <c r="O93" s="28"/>
      <c r="P93" s="69">
        <f t="shared" si="17"/>
        <v>0</v>
      </c>
      <c r="Q93" s="70">
        <f t="shared" si="18"/>
        <v>151</v>
      </c>
      <c r="R93" s="27">
        <f t="shared" si="19"/>
        <v>151</v>
      </c>
    </row>
    <row r="94" spans="1:18" x14ac:dyDescent="0.4">
      <c r="A94" s="3"/>
      <c r="B94" s="4"/>
      <c r="C94" s="5"/>
      <c r="D94" s="95" t="s">
        <v>60</v>
      </c>
      <c r="E94" s="96"/>
      <c r="F94" s="22"/>
      <c r="G94" s="22"/>
      <c r="I94" s="9"/>
      <c r="J94" s="11"/>
      <c r="K94" s="25"/>
      <c r="L94" s="21"/>
      <c r="M94" s="26"/>
      <c r="N94" s="27" t="str">
        <f t="shared" si="16"/>
        <v/>
      </c>
    </row>
    <row r="95" spans="1:18" x14ac:dyDescent="0.4">
      <c r="A95" s="3" t="s">
        <v>54</v>
      </c>
      <c r="B95" s="4">
        <v>45398</v>
      </c>
      <c r="C95" s="5" t="s">
        <v>4</v>
      </c>
      <c r="D95" s="95" t="s">
        <v>56</v>
      </c>
      <c r="E95" s="96"/>
      <c r="F95" s="20"/>
      <c r="G95" s="21">
        <v>508</v>
      </c>
      <c r="H95" s="1"/>
      <c r="I95" s="9" t="s">
        <v>23</v>
      </c>
      <c r="J95" s="11"/>
      <c r="K95" s="25"/>
      <c r="L95" s="21">
        <v>508</v>
      </c>
      <c r="M95" s="26"/>
      <c r="N95" s="27">
        <f t="shared" si="16"/>
        <v>508</v>
      </c>
      <c r="O95" s="28"/>
      <c r="P95" s="69">
        <f t="shared" ref="P95:P123" si="20">ROUNDDOWN($K95/110*10,0)</f>
        <v>0</v>
      </c>
      <c r="Q95" s="70">
        <f t="shared" ref="Q95:Q123" si="21">ROUNDDOWN($L95/108*8,0)</f>
        <v>37</v>
      </c>
      <c r="R95" s="27">
        <f t="shared" ref="R95:R123" si="22">P95+Q95</f>
        <v>37</v>
      </c>
    </row>
    <row r="96" spans="1:18" x14ac:dyDescent="0.4">
      <c r="A96" s="3" t="s">
        <v>54</v>
      </c>
      <c r="B96" s="4">
        <v>45398</v>
      </c>
      <c r="C96" s="5" t="s">
        <v>4</v>
      </c>
      <c r="D96" s="95" t="s">
        <v>56</v>
      </c>
      <c r="E96" s="96"/>
      <c r="F96" s="22"/>
      <c r="G96" s="22">
        <v>1545</v>
      </c>
      <c r="I96" s="9" t="s">
        <v>23</v>
      </c>
      <c r="J96" s="11"/>
      <c r="K96" s="25"/>
      <c r="L96" s="21">
        <v>1545</v>
      </c>
      <c r="M96" s="26"/>
      <c r="N96" s="27">
        <f t="shared" si="16"/>
        <v>1545</v>
      </c>
      <c r="O96" s="28"/>
      <c r="P96" s="69">
        <f t="shared" si="20"/>
        <v>0</v>
      </c>
      <c r="Q96" s="70">
        <f t="shared" si="21"/>
        <v>114</v>
      </c>
      <c r="R96" s="27">
        <f t="shared" si="22"/>
        <v>114</v>
      </c>
    </row>
    <row r="97" spans="1:18" x14ac:dyDescent="0.4">
      <c r="A97" s="3" t="s">
        <v>54</v>
      </c>
      <c r="B97" s="4">
        <v>45398</v>
      </c>
      <c r="C97" s="5" t="s">
        <v>4</v>
      </c>
      <c r="D97" s="95" t="s">
        <v>61</v>
      </c>
      <c r="E97" s="96"/>
      <c r="F97" s="22"/>
      <c r="G97" s="22">
        <v>1674</v>
      </c>
      <c r="I97" s="9" t="s">
        <v>23</v>
      </c>
      <c r="J97" s="11"/>
      <c r="K97" s="25">
        <v>1674</v>
      </c>
      <c r="L97" s="21"/>
      <c r="M97" s="26"/>
      <c r="N97" s="27">
        <f t="shared" si="16"/>
        <v>1674</v>
      </c>
      <c r="O97" s="28"/>
      <c r="P97" s="69">
        <f t="shared" si="20"/>
        <v>152</v>
      </c>
      <c r="Q97" s="70">
        <f t="shared" si="21"/>
        <v>0</v>
      </c>
      <c r="R97" s="27">
        <f t="shared" si="22"/>
        <v>152</v>
      </c>
    </row>
    <row r="98" spans="1:18" x14ac:dyDescent="0.4">
      <c r="A98" s="3" t="s">
        <v>54</v>
      </c>
      <c r="B98" s="4">
        <v>45399</v>
      </c>
      <c r="C98" s="5" t="s">
        <v>4</v>
      </c>
      <c r="D98" s="95" t="s">
        <v>56</v>
      </c>
      <c r="E98" s="96"/>
      <c r="F98" s="22"/>
      <c r="G98" s="22">
        <v>1053</v>
      </c>
      <c r="I98" s="9" t="s">
        <v>23</v>
      </c>
      <c r="J98" s="11"/>
      <c r="K98" s="25">
        <v>583</v>
      </c>
      <c r="L98" s="21">
        <v>470</v>
      </c>
      <c r="M98" s="26"/>
      <c r="N98" s="27">
        <f t="shared" si="16"/>
        <v>1053</v>
      </c>
      <c r="O98" s="28"/>
      <c r="P98" s="69">
        <f t="shared" si="20"/>
        <v>53</v>
      </c>
      <c r="Q98" s="70">
        <f t="shared" si="21"/>
        <v>34</v>
      </c>
      <c r="R98" s="27">
        <f t="shared" si="22"/>
        <v>87</v>
      </c>
    </row>
    <row r="99" spans="1:18" x14ac:dyDescent="0.4">
      <c r="A99" s="3" t="s">
        <v>54</v>
      </c>
      <c r="B99" s="4">
        <v>45399</v>
      </c>
      <c r="C99" s="5" t="s">
        <v>4</v>
      </c>
      <c r="D99" s="95" t="s">
        <v>41</v>
      </c>
      <c r="E99" s="96"/>
      <c r="F99" s="22"/>
      <c r="G99" s="22">
        <v>7600</v>
      </c>
      <c r="I99" s="9" t="s">
        <v>23</v>
      </c>
      <c r="J99" s="11"/>
      <c r="K99" s="25">
        <v>7600</v>
      </c>
      <c r="L99" s="21"/>
      <c r="M99" s="26"/>
      <c r="N99" s="27">
        <f t="shared" si="16"/>
        <v>7600</v>
      </c>
      <c r="O99" s="28"/>
      <c r="P99" s="69">
        <f t="shared" si="20"/>
        <v>690</v>
      </c>
      <c r="Q99" s="70">
        <f t="shared" si="21"/>
        <v>0</v>
      </c>
      <c r="R99" s="27">
        <f t="shared" si="22"/>
        <v>690</v>
      </c>
    </row>
    <row r="100" spans="1:18" x14ac:dyDescent="0.4">
      <c r="A100" s="3" t="s">
        <v>54</v>
      </c>
      <c r="B100" s="4">
        <v>45399</v>
      </c>
      <c r="C100" s="5" t="s">
        <v>4</v>
      </c>
      <c r="D100" s="95" t="s">
        <v>56</v>
      </c>
      <c r="E100" s="96"/>
      <c r="F100" s="22"/>
      <c r="G100" s="22">
        <v>1060</v>
      </c>
      <c r="I100" s="9" t="s">
        <v>23</v>
      </c>
      <c r="J100" s="11"/>
      <c r="K100" s="25">
        <v>1060</v>
      </c>
      <c r="L100" s="21"/>
      <c r="M100" s="26"/>
      <c r="N100" s="27">
        <f t="shared" si="16"/>
        <v>1060</v>
      </c>
      <c r="O100" s="28"/>
      <c r="P100" s="69">
        <f t="shared" si="20"/>
        <v>96</v>
      </c>
      <c r="Q100" s="70">
        <f t="shared" si="21"/>
        <v>0</v>
      </c>
      <c r="R100" s="27">
        <f t="shared" si="22"/>
        <v>96</v>
      </c>
    </row>
    <row r="101" spans="1:18" x14ac:dyDescent="0.4">
      <c r="A101" s="3" t="s">
        <v>54</v>
      </c>
      <c r="B101" s="4">
        <v>45399</v>
      </c>
      <c r="C101" s="5" t="s">
        <v>4</v>
      </c>
      <c r="D101" s="95" t="s">
        <v>56</v>
      </c>
      <c r="E101" s="96"/>
      <c r="F101" s="22"/>
      <c r="G101" s="22">
        <v>10550</v>
      </c>
      <c r="I101" s="9" t="s">
        <v>23</v>
      </c>
      <c r="J101" s="11"/>
      <c r="K101" s="25">
        <v>10550</v>
      </c>
      <c r="L101" s="21"/>
      <c r="M101" s="26"/>
      <c r="N101" s="27">
        <f>IF(K101+L101+M101=0,"",K101+L101+M101)</f>
        <v>10550</v>
      </c>
      <c r="O101" s="28"/>
      <c r="P101" s="69">
        <f>ROUNDDOWN($K101/110*10,0)</f>
        <v>959</v>
      </c>
      <c r="Q101" s="70">
        <f>ROUNDDOWN($L101/108*8,0)</f>
        <v>0</v>
      </c>
      <c r="R101" s="27">
        <f>P101+Q101</f>
        <v>959</v>
      </c>
    </row>
    <row r="102" spans="1:18" x14ac:dyDescent="0.4">
      <c r="A102" s="3" t="s">
        <v>54</v>
      </c>
      <c r="B102" s="4">
        <v>45399</v>
      </c>
      <c r="C102" s="5" t="s">
        <v>4</v>
      </c>
      <c r="D102" s="95" t="s">
        <v>56</v>
      </c>
      <c r="E102" s="96"/>
      <c r="F102" s="22"/>
      <c r="G102" s="22">
        <v>1910</v>
      </c>
      <c r="I102" s="9" t="s">
        <v>23</v>
      </c>
      <c r="J102" s="11"/>
      <c r="K102" s="25">
        <v>1910</v>
      </c>
      <c r="L102" s="21"/>
      <c r="M102" s="26"/>
      <c r="N102" s="27">
        <f t="shared" si="16"/>
        <v>1910</v>
      </c>
      <c r="O102" s="28"/>
      <c r="P102" s="69">
        <f t="shared" si="20"/>
        <v>173</v>
      </c>
      <c r="Q102" s="70">
        <f t="shared" si="21"/>
        <v>0</v>
      </c>
      <c r="R102" s="27">
        <f t="shared" si="22"/>
        <v>173</v>
      </c>
    </row>
    <row r="103" spans="1:18" x14ac:dyDescent="0.4">
      <c r="A103" s="3" t="s">
        <v>54</v>
      </c>
      <c r="B103" s="4">
        <v>45400</v>
      </c>
      <c r="C103" s="5" t="s">
        <v>4</v>
      </c>
      <c r="D103" s="95" t="s">
        <v>56</v>
      </c>
      <c r="E103" s="96"/>
      <c r="F103" s="22"/>
      <c r="G103" s="22">
        <v>663</v>
      </c>
      <c r="I103" s="9" t="s">
        <v>23</v>
      </c>
      <c r="J103" s="11"/>
      <c r="K103" s="25"/>
      <c r="L103" s="21">
        <v>663</v>
      </c>
      <c r="M103" s="26"/>
      <c r="N103" s="27">
        <f t="shared" si="16"/>
        <v>663</v>
      </c>
      <c r="O103" s="28"/>
      <c r="P103" s="69">
        <f t="shared" si="20"/>
        <v>0</v>
      </c>
      <c r="Q103" s="70">
        <f t="shared" si="21"/>
        <v>49</v>
      </c>
      <c r="R103" s="27">
        <f t="shared" si="22"/>
        <v>49</v>
      </c>
    </row>
    <row r="104" spans="1:18" x14ac:dyDescent="0.4">
      <c r="A104" s="3" t="s">
        <v>54</v>
      </c>
      <c r="B104" s="4">
        <v>45401</v>
      </c>
      <c r="C104" s="5" t="s">
        <v>4</v>
      </c>
      <c r="D104" s="95" t="s">
        <v>56</v>
      </c>
      <c r="E104" s="96"/>
      <c r="F104" s="22"/>
      <c r="G104" s="22">
        <v>1088</v>
      </c>
      <c r="I104" s="9" t="s">
        <v>23</v>
      </c>
      <c r="J104" s="11"/>
      <c r="K104" s="25">
        <v>583</v>
      </c>
      <c r="L104" s="21">
        <v>505</v>
      </c>
      <c r="M104" s="26"/>
      <c r="N104" s="27">
        <f t="shared" si="16"/>
        <v>1088</v>
      </c>
      <c r="O104" s="28"/>
      <c r="P104" s="69">
        <f t="shared" si="20"/>
        <v>53</v>
      </c>
      <c r="Q104" s="70">
        <f t="shared" si="21"/>
        <v>37</v>
      </c>
      <c r="R104" s="27">
        <f t="shared" si="22"/>
        <v>90</v>
      </c>
    </row>
    <row r="105" spans="1:18" x14ac:dyDescent="0.4">
      <c r="A105" s="3" t="s">
        <v>54</v>
      </c>
      <c r="B105" s="4">
        <v>45401</v>
      </c>
      <c r="C105" s="5" t="s">
        <v>4</v>
      </c>
      <c r="D105" s="95" t="s">
        <v>56</v>
      </c>
      <c r="E105" s="96"/>
      <c r="F105" s="22"/>
      <c r="G105" s="22">
        <v>2291</v>
      </c>
      <c r="I105" s="9" t="s">
        <v>23</v>
      </c>
      <c r="J105" s="11"/>
      <c r="K105" s="25"/>
      <c r="L105" s="21">
        <v>2291</v>
      </c>
      <c r="M105" s="26"/>
      <c r="N105" s="27">
        <f t="shared" si="16"/>
        <v>2291</v>
      </c>
      <c r="O105" s="28"/>
      <c r="P105" s="69">
        <f t="shared" si="20"/>
        <v>0</v>
      </c>
      <c r="Q105" s="70">
        <f t="shared" si="21"/>
        <v>169</v>
      </c>
      <c r="R105" s="27">
        <f t="shared" si="22"/>
        <v>169</v>
      </c>
    </row>
    <row r="106" spans="1:18" x14ac:dyDescent="0.4">
      <c r="A106" s="3" t="s">
        <v>54</v>
      </c>
      <c r="B106" s="4">
        <v>45402</v>
      </c>
      <c r="C106" s="5" t="s">
        <v>57</v>
      </c>
      <c r="D106" s="95" t="s">
        <v>58</v>
      </c>
      <c r="E106" s="96"/>
      <c r="F106" s="22"/>
      <c r="G106" s="22">
        <v>12000</v>
      </c>
      <c r="I106" s="9" t="s">
        <v>29</v>
      </c>
      <c r="J106" s="11"/>
      <c r="K106" s="25">
        <v>12000</v>
      </c>
      <c r="L106" s="21"/>
      <c r="M106" s="26"/>
      <c r="N106" s="27">
        <f>IF(K106+L106+M106=0,"",K106+L106+M106)</f>
        <v>12000</v>
      </c>
      <c r="O106" s="28"/>
      <c r="P106" s="69">
        <f>ROUNDDOWN($K106/110*10,0)</f>
        <v>1090</v>
      </c>
      <c r="Q106" s="70">
        <f>ROUNDDOWN($L106/108*8,0)</f>
        <v>0</v>
      </c>
      <c r="R106" s="27">
        <f>P106+Q106</f>
        <v>1090</v>
      </c>
    </row>
    <row r="107" spans="1:18" x14ac:dyDescent="0.4">
      <c r="A107" s="3" t="s">
        <v>54</v>
      </c>
      <c r="B107" s="4">
        <v>45402</v>
      </c>
      <c r="C107" s="5" t="s">
        <v>4</v>
      </c>
      <c r="D107" s="95" t="s">
        <v>56</v>
      </c>
      <c r="E107" s="96"/>
      <c r="F107" s="22"/>
      <c r="G107" s="22">
        <v>988</v>
      </c>
      <c r="I107" s="9" t="s">
        <v>23</v>
      </c>
      <c r="J107" s="11"/>
      <c r="K107" s="25"/>
      <c r="L107" s="21">
        <v>988</v>
      </c>
      <c r="M107" s="29"/>
      <c r="N107" s="27">
        <f t="shared" si="16"/>
        <v>988</v>
      </c>
      <c r="O107" s="28"/>
      <c r="P107" s="69">
        <f t="shared" si="20"/>
        <v>0</v>
      </c>
      <c r="Q107" s="70">
        <f t="shared" si="21"/>
        <v>73</v>
      </c>
      <c r="R107" s="27">
        <f t="shared" si="22"/>
        <v>73</v>
      </c>
    </row>
    <row r="108" spans="1:18" x14ac:dyDescent="0.4">
      <c r="A108" s="3" t="s">
        <v>54</v>
      </c>
      <c r="B108" s="4">
        <v>45402</v>
      </c>
      <c r="C108" s="5" t="s">
        <v>4</v>
      </c>
      <c r="D108" s="95" t="s">
        <v>56</v>
      </c>
      <c r="E108" s="96"/>
      <c r="F108" s="22"/>
      <c r="G108" s="22">
        <v>1980</v>
      </c>
      <c r="I108" s="9" t="s">
        <v>23</v>
      </c>
      <c r="J108" s="11"/>
      <c r="K108" s="25">
        <v>1980</v>
      </c>
      <c r="L108" s="21"/>
      <c r="M108" s="26"/>
      <c r="N108" s="27">
        <f t="shared" si="16"/>
        <v>1980</v>
      </c>
      <c r="O108" s="28"/>
      <c r="P108" s="69">
        <f t="shared" si="20"/>
        <v>180</v>
      </c>
      <c r="Q108" s="70">
        <f t="shared" si="21"/>
        <v>0</v>
      </c>
      <c r="R108" s="27">
        <f t="shared" si="22"/>
        <v>180</v>
      </c>
    </row>
    <row r="109" spans="1:18" x14ac:dyDescent="0.4">
      <c r="A109" s="3" t="s">
        <v>54</v>
      </c>
      <c r="B109" s="4">
        <v>45402</v>
      </c>
      <c r="C109" s="5" t="s">
        <v>4</v>
      </c>
      <c r="D109" s="95" t="s">
        <v>56</v>
      </c>
      <c r="E109" s="96"/>
      <c r="F109" s="22"/>
      <c r="G109" s="22">
        <v>3420</v>
      </c>
      <c r="I109" s="9" t="s">
        <v>23</v>
      </c>
      <c r="J109" s="11"/>
      <c r="K109" s="25">
        <v>3420</v>
      </c>
      <c r="L109" s="21"/>
      <c r="M109" s="26"/>
      <c r="N109" s="27">
        <f t="shared" si="16"/>
        <v>3420</v>
      </c>
      <c r="O109" s="28"/>
      <c r="P109" s="69">
        <f t="shared" si="20"/>
        <v>310</v>
      </c>
      <c r="Q109" s="70">
        <f t="shared" si="21"/>
        <v>0</v>
      </c>
      <c r="R109" s="27">
        <f t="shared" si="22"/>
        <v>310</v>
      </c>
    </row>
    <row r="110" spans="1:18" x14ac:dyDescent="0.4">
      <c r="A110" s="3" t="s">
        <v>54</v>
      </c>
      <c r="B110" s="4">
        <v>45403</v>
      </c>
      <c r="C110" s="5" t="s">
        <v>4</v>
      </c>
      <c r="D110" s="95" t="s">
        <v>56</v>
      </c>
      <c r="E110" s="96"/>
      <c r="F110" s="22"/>
      <c r="G110" s="22">
        <v>1282</v>
      </c>
      <c r="I110" s="9" t="s">
        <v>23</v>
      </c>
      <c r="J110" s="11"/>
      <c r="K110" s="25">
        <v>1282</v>
      </c>
      <c r="L110" s="21"/>
      <c r="M110" s="26"/>
      <c r="N110" s="27">
        <f t="shared" si="16"/>
        <v>1282</v>
      </c>
      <c r="O110" s="28"/>
      <c r="P110" s="69">
        <f t="shared" si="20"/>
        <v>116</v>
      </c>
      <c r="Q110" s="70">
        <f t="shared" si="21"/>
        <v>0</v>
      </c>
      <c r="R110" s="27">
        <f t="shared" si="22"/>
        <v>116</v>
      </c>
    </row>
    <row r="111" spans="1:18" x14ac:dyDescent="0.4">
      <c r="A111" s="3" t="s">
        <v>54</v>
      </c>
      <c r="B111" s="4">
        <v>45404</v>
      </c>
      <c r="C111" s="5" t="s">
        <v>4</v>
      </c>
      <c r="D111" s="95" t="s">
        <v>56</v>
      </c>
      <c r="E111" s="96"/>
      <c r="F111" s="22"/>
      <c r="G111" s="22">
        <v>508</v>
      </c>
      <c r="I111" s="9" t="s">
        <v>23</v>
      </c>
      <c r="J111" s="11"/>
      <c r="K111" s="25"/>
      <c r="L111" s="21">
        <v>508</v>
      </c>
      <c r="M111" s="26"/>
      <c r="N111" s="27">
        <f t="shared" si="16"/>
        <v>508</v>
      </c>
      <c r="O111" s="28"/>
      <c r="P111" s="69">
        <f t="shared" si="20"/>
        <v>0</v>
      </c>
      <c r="Q111" s="70">
        <f t="shared" si="21"/>
        <v>37</v>
      </c>
      <c r="R111" s="27">
        <f t="shared" si="22"/>
        <v>37</v>
      </c>
    </row>
    <row r="112" spans="1:18" x14ac:dyDescent="0.4">
      <c r="A112" s="3" t="s">
        <v>54</v>
      </c>
      <c r="B112" s="4">
        <v>45404</v>
      </c>
      <c r="C112" s="5" t="s">
        <v>4</v>
      </c>
      <c r="D112" s="95" t="s">
        <v>56</v>
      </c>
      <c r="E112" s="96"/>
      <c r="F112" s="22"/>
      <c r="G112" s="22">
        <v>1480</v>
      </c>
      <c r="I112" s="9" t="s">
        <v>23</v>
      </c>
      <c r="J112" s="11"/>
      <c r="K112" s="25">
        <v>1480</v>
      </c>
      <c r="L112" s="21"/>
      <c r="M112" s="26"/>
      <c r="N112" s="27">
        <f t="shared" si="16"/>
        <v>1480</v>
      </c>
      <c r="O112" s="28"/>
      <c r="P112" s="69">
        <f t="shared" si="20"/>
        <v>134</v>
      </c>
      <c r="Q112" s="70">
        <f t="shared" si="21"/>
        <v>0</v>
      </c>
      <c r="R112" s="27">
        <f t="shared" si="22"/>
        <v>134</v>
      </c>
    </row>
    <row r="113" spans="1:18" x14ac:dyDescent="0.4">
      <c r="A113" s="3" t="s">
        <v>54</v>
      </c>
      <c r="B113" s="4">
        <v>45405</v>
      </c>
      <c r="C113" s="5" t="s">
        <v>4</v>
      </c>
      <c r="D113" s="95" t="s">
        <v>56</v>
      </c>
      <c r="E113" s="96"/>
      <c r="F113" s="22"/>
      <c r="G113" s="22">
        <v>745</v>
      </c>
      <c r="I113" s="9" t="s">
        <v>23</v>
      </c>
      <c r="J113" s="11"/>
      <c r="K113" s="25"/>
      <c r="L113" s="21">
        <v>745</v>
      </c>
      <c r="M113" s="26"/>
      <c r="N113" s="27">
        <f t="shared" si="16"/>
        <v>745</v>
      </c>
      <c r="O113" s="28"/>
      <c r="P113" s="69">
        <f t="shared" si="20"/>
        <v>0</v>
      </c>
      <c r="Q113" s="70">
        <f t="shared" si="21"/>
        <v>55</v>
      </c>
      <c r="R113" s="27">
        <f t="shared" si="22"/>
        <v>55</v>
      </c>
    </row>
    <row r="114" spans="1:18" x14ac:dyDescent="0.4">
      <c r="A114" s="3" t="s">
        <v>54</v>
      </c>
      <c r="B114" s="4">
        <v>45405</v>
      </c>
      <c r="C114" s="5" t="s">
        <v>4</v>
      </c>
      <c r="D114" s="95" t="s">
        <v>56</v>
      </c>
      <c r="E114" s="96"/>
      <c r="F114" s="22"/>
      <c r="G114" s="22">
        <v>2093</v>
      </c>
      <c r="I114" s="9" t="s">
        <v>23</v>
      </c>
      <c r="J114" s="11"/>
      <c r="K114" s="25">
        <v>2093</v>
      </c>
      <c r="L114" s="21"/>
      <c r="M114" s="26"/>
      <c r="N114" s="27">
        <f t="shared" si="16"/>
        <v>2093</v>
      </c>
      <c r="O114" s="28"/>
      <c r="P114" s="69">
        <f t="shared" si="20"/>
        <v>190</v>
      </c>
      <c r="Q114" s="70">
        <f t="shared" si="21"/>
        <v>0</v>
      </c>
      <c r="R114" s="27">
        <f t="shared" si="22"/>
        <v>190</v>
      </c>
    </row>
    <row r="115" spans="1:18" x14ac:dyDescent="0.4">
      <c r="A115" s="3" t="s">
        <v>54</v>
      </c>
      <c r="B115" s="4">
        <v>45406</v>
      </c>
      <c r="C115" s="5" t="s">
        <v>4</v>
      </c>
      <c r="D115" s="95" t="s">
        <v>56</v>
      </c>
      <c r="E115" s="96"/>
      <c r="F115" s="22"/>
      <c r="G115" s="22">
        <v>1347</v>
      </c>
      <c r="I115" s="9" t="s">
        <v>23</v>
      </c>
      <c r="J115" s="11"/>
      <c r="K115" s="25">
        <v>585</v>
      </c>
      <c r="L115" s="21">
        <v>762</v>
      </c>
      <c r="M115" s="26"/>
      <c r="N115" s="27">
        <f t="shared" si="16"/>
        <v>1347</v>
      </c>
      <c r="O115" s="28"/>
      <c r="P115" s="69">
        <f t="shared" si="20"/>
        <v>53</v>
      </c>
      <c r="Q115" s="70">
        <f t="shared" si="21"/>
        <v>56</v>
      </c>
      <c r="R115" s="27">
        <f t="shared" si="22"/>
        <v>109</v>
      </c>
    </row>
    <row r="116" spans="1:18" x14ac:dyDescent="0.4">
      <c r="A116" s="3" t="s">
        <v>54</v>
      </c>
      <c r="B116" s="4">
        <v>45406</v>
      </c>
      <c r="C116" s="5" t="s">
        <v>4</v>
      </c>
      <c r="D116" s="95" t="s">
        <v>56</v>
      </c>
      <c r="E116" s="96"/>
      <c r="F116" s="22"/>
      <c r="G116" s="22">
        <v>1573</v>
      </c>
      <c r="I116" s="9" t="s">
        <v>23</v>
      </c>
      <c r="J116" s="11"/>
      <c r="K116" s="25">
        <v>1163</v>
      </c>
      <c r="L116" s="21">
        <v>410</v>
      </c>
      <c r="M116" s="26"/>
      <c r="N116" s="27">
        <f t="shared" si="16"/>
        <v>1573</v>
      </c>
      <c r="O116" s="28"/>
      <c r="P116" s="69">
        <f t="shared" si="20"/>
        <v>105</v>
      </c>
      <c r="Q116" s="70">
        <f t="shared" si="21"/>
        <v>30</v>
      </c>
      <c r="R116" s="27">
        <f t="shared" si="22"/>
        <v>135</v>
      </c>
    </row>
    <row r="117" spans="1:18" x14ac:dyDescent="0.4">
      <c r="A117" s="3" t="s">
        <v>54</v>
      </c>
      <c r="B117" s="4">
        <v>45406</v>
      </c>
      <c r="C117" s="5" t="s">
        <v>4</v>
      </c>
      <c r="D117" s="95" t="s">
        <v>56</v>
      </c>
      <c r="E117" s="96"/>
      <c r="F117" s="22"/>
      <c r="G117" s="22">
        <v>1440</v>
      </c>
      <c r="I117" s="9" t="s">
        <v>23</v>
      </c>
      <c r="J117" s="11"/>
      <c r="K117" s="25">
        <v>1440</v>
      </c>
      <c r="L117" s="21"/>
      <c r="M117" s="26"/>
      <c r="N117" s="27">
        <f t="shared" si="16"/>
        <v>1440</v>
      </c>
      <c r="O117" s="28"/>
      <c r="P117" s="69">
        <f t="shared" si="20"/>
        <v>130</v>
      </c>
      <c r="Q117" s="70">
        <f t="shared" si="21"/>
        <v>0</v>
      </c>
      <c r="R117" s="27">
        <f t="shared" si="22"/>
        <v>130</v>
      </c>
    </row>
    <row r="118" spans="1:18" x14ac:dyDescent="0.4">
      <c r="A118" s="3" t="s">
        <v>54</v>
      </c>
      <c r="B118" s="4">
        <v>45407</v>
      </c>
      <c r="C118" s="5" t="s">
        <v>4</v>
      </c>
      <c r="D118" s="95" t="s">
        <v>56</v>
      </c>
      <c r="E118" s="96"/>
      <c r="F118" s="22"/>
      <c r="G118" s="22">
        <v>910</v>
      </c>
      <c r="I118" s="9" t="s">
        <v>23</v>
      </c>
      <c r="J118" s="11"/>
      <c r="K118" s="25"/>
      <c r="L118" s="21">
        <v>910</v>
      </c>
      <c r="M118" s="26"/>
      <c r="N118" s="27">
        <f t="shared" si="16"/>
        <v>910</v>
      </c>
      <c r="O118" s="28"/>
      <c r="P118" s="69">
        <f t="shared" si="20"/>
        <v>0</v>
      </c>
      <c r="Q118" s="70">
        <f t="shared" si="21"/>
        <v>67</v>
      </c>
      <c r="R118" s="27">
        <f t="shared" si="22"/>
        <v>67</v>
      </c>
    </row>
    <row r="119" spans="1:18" x14ac:dyDescent="0.4">
      <c r="A119" s="3" t="s">
        <v>54</v>
      </c>
      <c r="B119" s="4">
        <v>45407</v>
      </c>
      <c r="C119" s="5" t="s">
        <v>57</v>
      </c>
      <c r="D119" s="95" t="s">
        <v>58</v>
      </c>
      <c r="E119" s="96"/>
      <c r="F119" s="22"/>
      <c r="G119" s="22">
        <v>14597</v>
      </c>
      <c r="I119" s="9" t="s">
        <v>23</v>
      </c>
      <c r="J119" s="11"/>
      <c r="K119" s="25">
        <v>14597</v>
      </c>
      <c r="L119" s="21"/>
      <c r="M119" s="26"/>
      <c r="N119" s="27">
        <f t="shared" si="16"/>
        <v>14597</v>
      </c>
      <c r="O119" s="28"/>
      <c r="P119" s="69">
        <f t="shared" si="20"/>
        <v>1327</v>
      </c>
      <c r="Q119" s="70">
        <f t="shared" si="21"/>
        <v>0</v>
      </c>
      <c r="R119" s="27">
        <f t="shared" si="22"/>
        <v>1327</v>
      </c>
    </row>
    <row r="120" spans="1:18" x14ac:dyDescent="0.4">
      <c r="A120" s="3" t="s">
        <v>54</v>
      </c>
      <c r="B120" s="4">
        <v>45408</v>
      </c>
      <c r="C120" s="5" t="s">
        <v>4</v>
      </c>
      <c r="D120" s="95" t="s">
        <v>56</v>
      </c>
      <c r="E120" s="96"/>
      <c r="F120" s="22"/>
      <c r="G120" s="22">
        <v>1631</v>
      </c>
      <c r="I120" s="9" t="s">
        <v>23</v>
      </c>
      <c r="J120" s="11"/>
      <c r="K120" s="25">
        <v>585</v>
      </c>
      <c r="L120" s="21">
        <v>1046</v>
      </c>
      <c r="M120" s="26"/>
      <c r="N120" s="27">
        <f t="shared" si="16"/>
        <v>1631</v>
      </c>
      <c r="O120" s="28"/>
      <c r="P120" s="69">
        <f t="shared" si="20"/>
        <v>53</v>
      </c>
      <c r="Q120" s="70">
        <f t="shared" si="21"/>
        <v>77</v>
      </c>
      <c r="R120" s="27">
        <f t="shared" si="22"/>
        <v>130</v>
      </c>
    </row>
    <row r="121" spans="1:18" x14ac:dyDescent="0.4">
      <c r="A121" s="3" t="s">
        <v>54</v>
      </c>
      <c r="B121" s="4">
        <v>45408</v>
      </c>
      <c r="C121" s="5" t="s">
        <v>4</v>
      </c>
      <c r="D121" s="95" t="s">
        <v>56</v>
      </c>
      <c r="E121" s="96"/>
      <c r="F121" s="22"/>
      <c r="G121" s="22">
        <v>847</v>
      </c>
      <c r="I121" s="9" t="s">
        <v>23</v>
      </c>
      <c r="J121" s="11"/>
      <c r="K121" s="25"/>
      <c r="L121" s="21">
        <v>847</v>
      </c>
      <c r="M121" s="26"/>
      <c r="N121" s="27">
        <f t="shared" si="16"/>
        <v>847</v>
      </c>
      <c r="O121" s="28"/>
      <c r="P121" s="69">
        <f t="shared" si="20"/>
        <v>0</v>
      </c>
      <c r="Q121" s="70">
        <f t="shared" si="21"/>
        <v>62</v>
      </c>
      <c r="R121" s="27">
        <f t="shared" si="22"/>
        <v>62</v>
      </c>
    </row>
    <row r="122" spans="1:18" x14ac:dyDescent="0.4">
      <c r="A122" s="3" t="s">
        <v>54</v>
      </c>
      <c r="B122" s="4">
        <v>45408</v>
      </c>
      <c r="C122" s="5" t="s">
        <v>4</v>
      </c>
      <c r="D122" s="95" t="s">
        <v>56</v>
      </c>
      <c r="E122" s="96"/>
      <c r="F122" s="22"/>
      <c r="G122" s="22">
        <v>1265</v>
      </c>
      <c r="I122" s="9" t="s">
        <v>23</v>
      </c>
      <c r="J122" s="11"/>
      <c r="K122" s="25">
        <v>1265</v>
      </c>
      <c r="L122" s="21"/>
      <c r="M122" s="26"/>
      <c r="N122" s="27">
        <f t="shared" si="16"/>
        <v>1265</v>
      </c>
      <c r="O122" s="28"/>
      <c r="P122" s="69">
        <f t="shared" si="20"/>
        <v>115</v>
      </c>
      <c r="Q122" s="70">
        <f t="shared" si="21"/>
        <v>0</v>
      </c>
      <c r="R122" s="27">
        <f t="shared" si="22"/>
        <v>115</v>
      </c>
    </row>
    <row r="123" spans="1:18" x14ac:dyDescent="0.4">
      <c r="A123" s="3" t="s">
        <v>54</v>
      </c>
      <c r="B123" s="4">
        <v>45408</v>
      </c>
      <c r="C123" s="5" t="s">
        <v>4</v>
      </c>
      <c r="D123" s="95" t="s">
        <v>56</v>
      </c>
      <c r="E123" s="96"/>
      <c r="F123" s="22"/>
      <c r="G123" s="22">
        <v>1960</v>
      </c>
      <c r="I123" s="9" t="s">
        <v>23</v>
      </c>
      <c r="J123" s="11"/>
      <c r="K123" s="25">
        <v>1960</v>
      </c>
      <c r="L123" s="21"/>
      <c r="M123" s="26"/>
      <c r="N123" s="27">
        <f t="shared" si="16"/>
        <v>1960</v>
      </c>
      <c r="O123" s="28"/>
      <c r="P123" s="69">
        <f t="shared" si="20"/>
        <v>178</v>
      </c>
      <c r="Q123" s="70">
        <f t="shared" si="21"/>
        <v>0</v>
      </c>
      <c r="R123" s="27">
        <f t="shared" si="22"/>
        <v>178</v>
      </c>
    </row>
    <row r="124" spans="1:18" x14ac:dyDescent="0.4">
      <c r="A124" s="3"/>
      <c r="B124" s="4"/>
      <c r="C124" s="5"/>
      <c r="D124" s="95" t="s">
        <v>62</v>
      </c>
      <c r="E124" s="96"/>
      <c r="F124" s="22"/>
      <c r="G124" s="22"/>
      <c r="I124" s="9"/>
      <c r="J124" s="11"/>
      <c r="K124" s="25"/>
      <c r="L124" s="21"/>
      <c r="M124" s="26"/>
      <c r="N124" s="27" t="str">
        <f t="shared" si="16"/>
        <v/>
      </c>
    </row>
    <row r="125" spans="1:18" x14ac:dyDescent="0.4">
      <c r="A125" s="3" t="s">
        <v>54</v>
      </c>
      <c r="B125" s="4">
        <v>45409</v>
      </c>
      <c r="C125" s="5" t="s">
        <v>4</v>
      </c>
      <c r="D125" s="95" t="s">
        <v>56</v>
      </c>
      <c r="E125" s="96"/>
      <c r="F125" s="20"/>
      <c r="G125" s="21">
        <v>1404</v>
      </c>
      <c r="H125" s="1"/>
      <c r="I125" s="9" t="s">
        <v>23</v>
      </c>
      <c r="J125" s="11"/>
      <c r="K125" s="25"/>
      <c r="L125" s="21">
        <v>1404</v>
      </c>
      <c r="M125" s="26"/>
      <c r="N125" s="27">
        <f t="shared" si="16"/>
        <v>1404</v>
      </c>
      <c r="O125" s="28"/>
      <c r="P125" s="69">
        <f t="shared" ref="P125:P157" si="23">ROUNDDOWN($K125/110*10,0)</f>
        <v>0</v>
      </c>
      <c r="Q125" s="70">
        <f t="shared" ref="Q125:Q157" si="24">ROUNDDOWN($L125/108*8,0)</f>
        <v>104</v>
      </c>
      <c r="R125" s="27">
        <f t="shared" ref="R125:R156" si="25">P125+Q125</f>
        <v>104</v>
      </c>
    </row>
    <row r="126" spans="1:18" x14ac:dyDescent="0.4">
      <c r="A126" s="3" t="s">
        <v>54</v>
      </c>
      <c r="B126" s="4">
        <v>45410</v>
      </c>
      <c r="C126" s="5" t="s">
        <v>4</v>
      </c>
      <c r="D126" s="95" t="s">
        <v>55</v>
      </c>
      <c r="E126" s="96"/>
      <c r="F126" s="22"/>
      <c r="G126" s="22">
        <v>700</v>
      </c>
      <c r="I126" s="9" t="s">
        <v>23</v>
      </c>
      <c r="J126" s="11"/>
      <c r="K126" s="25">
        <v>700</v>
      </c>
      <c r="L126" s="21"/>
      <c r="M126" s="26"/>
      <c r="N126" s="27">
        <f t="shared" si="16"/>
        <v>700</v>
      </c>
      <c r="O126" s="28"/>
      <c r="P126" s="69">
        <f t="shared" si="23"/>
        <v>63</v>
      </c>
      <c r="Q126" s="70">
        <f t="shared" si="24"/>
        <v>0</v>
      </c>
      <c r="R126" s="27">
        <f t="shared" si="25"/>
        <v>63</v>
      </c>
    </row>
    <row r="127" spans="1:18" x14ac:dyDescent="0.4">
      <c r="A127" s="3" t="s">
        <v>54</v>
      </c>
      <c r="B127" s="4">
        <v>45411</v>
      </c>
      <c r="C127" s="5" t="s">
        <v>4</v>
      </c>
      <c r="D127" s="95" t="s">
        <v>55</v>
      </c>
      <c r="E127" s="96"/>
      <c r="F127" s="22"/>
      <c r="G127" s="22">
        <v>500</v>
      </c>
      <c r="I127" s="9" t="s">
        <v>23</v>
      </c>
      <c r="J127" s="11"/>
      <c r="K127" s="25">
        <v>500</v>
      </c>
      <c r="L127" s="21"/>
      <c r="M127" s="26"/>
      <c r="N127" s="27">
        <f t="shared" si="16"/>
        <v>500</v>
      </c>
      <c r="O127" s="28"/>
      <c r="P127" s="69">
        <f t="shared" si="23"/>
        <v>45</v>
      </c>
      <c r="Q127" s="70">
        <f t="shared" si="24"/>
        <v>0</v>
      </c>
      <c r="R127" s="27">
        <f t="shared" si="25"/>
        <v>45</v>
      </c>
    </row>
    <row r="128" spans="1:18" x14ac:dyDescent="0.4">
      <c r="A128" s="3" t="s">
        <v>54</v>
      </c>
      <c r="B128" s="4">
        <v>45412</v>
      </c>
      <c r="C128" s="5" t="s">
        <v>4</v>
      </c>
      <c r="D128" s="95" t="s">
        <v>55</v>
      </c>
      <c r="E128" s="96"/>
      <c r="F128" s="22"/>
      <c r="G128" s="22">
        <v>1200</v>
      </c>
      <c r="I128" s="9" t="s">
        <v>23</v>
      </c>
      <c r="J128" s="11"/>
      <c r="K128" s="25">
        <v>1200</v>
      </c>
      <c r="L128" s="21"/>
      <c r="M128" s="26"/>
      <c r="N128" s="27">
        <f t="shared" si="16"/>
        <v>1200</v>
      </c>
      <c r="O128" s="28"/>
      <c r="P128" s="69">
        <f t="shared" si="23"/>
        <v>109</v>
      </c>
      <c r="Q128" s="70">
        <f t="shared" si="24"/>
        <v>0</v>
      </c>
      <c r="R128" s="27">
        <f t="shared" si="25"/>
        <v>109</v>
      </c>
    </row>
    <row r="129" spans="1:18" x14ac:dyDescent="0.4">
      <c r="A129" s="3" t="s">
        <v>54</v>
      </c>
      <c r="B129" s="4">
        <v>45413</v>
      </c>
      <c r="C129" s="5" t="s">
        <v>4</v>
      </c>
      <c r="D129" s="95" t="s">
        <v>55</v>
      </c>
      <c r="E129" s="96"/>
      <c r="F129" s="22"/>
      <c r="G129" s="22">
        <v>600</v>
      </c>
      <c r="I129" s="9" t="s">
        <v>23</v>
      </c>
      <c r="J129" s="11"/>
      <c r="K129" s="25">
        <v>600</v>
      </c>
      <c r="L129" s="21"/>
      <c r="M129" s="26"/>
      <c r="N129" s="27">
        <f t="shared" si="16"/>
        <v>600</v>
      </c>
      <c r="O129" s="28"/>
      <c r="P129" s="69">
        <f t="shared" si="23"/>
        <v>54</v>
      </c>
      <c r="Q129" s="70">
        <f t="shared" si="24"/>
        <v>0</v>
      </c>
      <c r="R129" s="27">
        <f t="shared" si="25"/>
        <v>54</v>
      </c>
    </row>
    <row r="130" spans="1:18" x14ac:dyDescent="0.4">
      <c r="A130" s="3" t="s">
        <v>54</v>
      </c>
      <c r="B130" s="4">
        <v>45414</v>
      </c>
      <c r="C130" s="5" t="s">
        <v>4</v>
      </c>
      <c r="D130" s="95" t="s">
        <v>55</v>
      </c>
      <c r="E130" s="96"/>
      <c r="F130" s="22"/>
      <c r="G130" s="22">
        <v>600</v>
      </c>
      <c r="I130" s="9" t="s">
        <v>23</v>
      </c>
      <c r="J130" s="11"/>
      <c r="K130" s="25">
        <v>600</v>
      </c>
      <c r="L130" s="21"/>
      <c r="M130" s="26"/>
      <c r="N130" s="27">
        <f t="shared" si="16"/>
        <v>600</v>
      </c>
      <c r="O130" s="28"/>
      <c r="P130" s="69">
        <f t="shared" si="23"/>
        <v>54</v>
      </c>
      <c r="Q130" s="70">
        <f t="shared" si="24"/>
        <v>0</v>
      </c>
      <c r="R130" s="27">
        <f t="shared" si="25"/>
        <v>54</v>
      </c>
    </row>
    <row r="131" spans="1:18" x14ac:dyDescent="0.4">
      <c r="A131" s="3" t="s">
        <v>54</v>
      </c>
      <c r="B131" s="4">
        <v>45415</v>
      </c>
      <c r="C131" s="5" t="s">
        <v>4</v>
      </c>
      <c r="D131" s="95" t="s">
        <v>55</v>
      </c>
      <c r="E131" s="96"/>
      <c r="F131" s="22"/>
      <c r="G131" s="22">
        <v>600</v>
      </c>
      <c r="I131" s="9" t="s">
        <v>23</v>
      </c>
      <c r="J131" s="11"/>
      <c r="K131" s="25">
        <v>600</v>
      </c>
      <c r="L131" s="21"/>
      <c r="M131" s="26"/>
      <c r="N131" s="27">
        <f>IF(K131+L131+M131=0,"",K131+L131+M131)</f>
        <v>600</v>
      </c>
      <c r="O131" s="28"/>
      <c r="P131" s="69">
        <f>ROUNDDOWN($K131/110*10,0)</f>
        <v>54</v>
      </c>
      <c r="Q131" s="70">
        <f>ROUNDDOWN($L131/108*8,0)</f>
        <v>0</v>
      </c>
      <c r="R131" s="27">
        <f>P131+Q131</f>
        <v>54</v>
      </c>
    </row>
    <row r="132" spans="1:18" x14ac:dyDescent="0.4">
      <c r="A132" s="3" t="s">
        <v>54</v>
      </c>
      <c r="B132" s="4">
        <v>45416</v>
      </c>
      <c r="C132" s="5" t="s">
        <v>4</v>
      </c>
      <c r="D132" s="95" t="s">
        <v>55</v>
      </c>
      <c r="E132" s="96"/>
      <c r="F132" s="22"/>
      <c r="G132" s="22">
        <v>600</v>
      </c>
      <c r="I132" s="9" t="s">
        <v>23</v>
      </c>
      <c r="J132" s="11"/>
      <c r="K132" s="25">
        <v>600</v>
      </c>
      <c r="L132" s="21"/>
      <c r="M132" s="26"/>
      <c r="N132" s="27">
        <f t="shared" si="16"/>
        <v>600</v>
      </c>
      <c r="O132" s="28"/>
      <c r="P132" s="69">
        <f t="shared" si="23"/>
        <v>54</v>
      </c>
      <c r="Q132" s="70">
        <f t="shared" si="24"/>
        <v>0</v>
      </c>
      <c r="R132" s="27">
        <f t="shared" si="25"/>
        <v>54</v>
      </c>
    </row>
    <row r="133" spans="1:18" x14ac:dyDescent="0.4">
      <c r="A133" s="3" t="s">
        <v>54</v>
      </c>
      <c r="B133" s="4">
        <v>45417</v>
      </c>
      <c r="C133" s="5" t="s">
        <v>4</v>
      </c>
      <c r="D133" s="95" t="s">
        <v>55</v>
      </c>
      <c r="E133" s="96"/>
      <c r="F133" s="22"/>
      <c r="G133" s="22">
        <v>600</v>
      </c>
      <c r="I133" s="9" t="s">
        <v>23</v>
      </c>
      <c r="J133" s="11"/>
      <c r="K133" s="25">
        <v>600</v>
      </c>
      <c r="L133" s="21"/>
      <c r="M133" s="26"/>
      <c r="N133" s="27">
        <f t="shared" si="16"/>
        <v>600</v>
      </c>
      <c r="O133" s="28"/>
      <c r="P133" s="69">
        <f t="shared" si="23"/>
        <v>54</v>
      </c>
      <c r="Q133" s="70">
        <f t="shared" si="24"/>
        <v>0</v>
      </c>
      <c r="R133" s="27">
        <f t="shared" si="25"/>
        <v>54</v>
      </c>
    </row>
    <row r="134" spans="1:18" x14ac:dyDescent="0.4">
      <c r="A134" s="3" t="s">
        <v>54</v>
      </c>
      <c r="B134" s="4">
        <v>45418</v>
      </c>
      <c r="C134" s="5" t="s">
        <v>4</v>
      </c>
      <c r="D134" s="95" t="s">
        <v>55</v>
      </c>
      <c r="E134" s="96"/>
      <c r="F134" s="22"/>
      <c r="G134" s="22">
        <v>600</v>
      </c>
      <c r="I134" s="9" t="s">
        <v>23</v>
      </c>
      <c r="J134" s="11"/>
      <c r="K134" s="25">
        <v>600</v>
      </c>
      <c r="L134" s="21"/>
      <c r="M134" s="26"/>
      <c r="N134" s="27">
        <f t="shared" si="16"/>
        <v>600</v>
      </c>
      <c r="O134" s="28"/>
      <c r="P134" s="69">
        <f t="shared" si="23"/>
        <v>54</v>
      </c>
      <c r="Q134" s="70">
        <f t="shared" si="24"/>
        <v>0</v>
      </c>
      <c r="R134" s="27">
        <f t="shared" si="25"/>
        <v>54</v>
      </c>
    </row>
    <row r="135" spans="1:18" x14ac:dyDescent="0.4">
      <c r="A135" s="3" t="s">
        <v>54</v>
      </c>
      <c r="B135" s="4">
        <v>45418</v>
      </c>
      <c r="C135" s="5" t="s">
        <v>63</v>
      </c>
      <c r="D135" s="95" t="s">
        <v>64</v>
      </c>
      <c r="E135" s="96"/>
      <c r="F135" s="22"/>
      <c r="G135" s="22">
        <v>1600</v>
      </c>
      <c r="I135" s="9" t="s">
        <v>23</v>
      </c>
      <c r="J135" s="11"/>
      <c r="K135" s="25">
        <v>1600</v>
      </c>
      <c r="L135" s="21"/>
      <c r="M135" s="26"/>
      <c r="N135" s="27">
        <f t="shared" si="16"/>
        <v>1600</v>
      </c>
      <c r="O135" s="28"/>
      <c r="P135" s="69">
        <f t="shared" si="23"/>
        <v>145</v>
      </c>
      <c r="Q135" s="70">
        <f t="shared" si="24"/>
        <v>0</v>
      </c>
      <c r="R135" s="27">
        <f t="shared" si="25"/>
        <v>145</v>
      </c>
    </row>
    <row r="136" spans="1:18" x14ac:dyDescent="0.4">
      <c r="A136" s="3" t="s">
        <v>54</v>
      </c>
      <c r="B136" s="4">
        <v>45419</v>
      </c>
      <c r="C136" s="5" t="s">
        <v>4</v>
      </c>
      <c r="D136" s="95" t="s">
        <v>56</v>
      </c>
      <c r="E136" s="96"/>
      <c r="F136" s="22"/>
      <c r="G136" s="22">
        <v>736</v>
      </c>
      <c r="I136" s="9" t="s">
        <v>23</v>
      </c>
      <c r="J136" s="11"/>
      <c r="K136" s="25"/>
      <c r="L136" s="21">
        <v>736</v>
      </c>
      <c r="M136" s="29"/>
      <c r="N136" s="27">
        <f t="shared" si="16"/>
        <v>736</v>
      </c>
      <c r="O136" s="28"/>
      <c r="P136" s="69">
        <f t="shared" si="23"/>
        <v>0</v>
      </c>
      <c r="Q136" s="70">
        <f t="shared" si="24"/>
        <v>54</v>
      </c>
      <c r="R136" s="27">
        <f t="shared" si="25"/>
        <v>54</v>
      </c>
    </row>
    <row r="137" spans="1:18" x14ac:dyDescent="0.4">
      <c r="A137" s="3" t="s">
        <v>54</v>
      </c>
      <c r="B137" s="4">
        <v>45419</v>
      </c>
      <c r="C137" s="5" t="s">
        <v>4</v>
      </c>
      <c r="D137" s="95" t="s">
        <v>56</v>
      </c>
      <c r="E137" s="96"/>
      <c r="F137" s="22"/>
      <c r="G137" s="22">
        <v>2409</v>
      </c>
      <c r="I137" s="9" t="s">
        <v>23</v>
      </c>
      <c r="J137" s="11"/>
      <c r="K137" s="25">
        <v>969</v>
      </c>
      <c r="L137" s="21">
        <v>1440</v>
      </c>
      <c r="M137" s="26"/>
      <c r="N137" s="27">
        <f t="shared" si="16"/>
        <v>2409</v>
      </c>
      <c r="O137" s="28"/>
      <c r="P137" s="69">
        <f t="shared" si="23"/>
        <v>88</v>
      </c>
      <c r="Q137" s="70">
        <f t="shared" si="24"/>
        <v>106</v>
      </c>
      <c r="R137" s="27">
        <f t="shared" si="25"/>
        <v>194</v>
      </c>
    </row>
    <row r="138" spans="1:18" x14ac:dyDescent="0.4">
      <c r="A138" s="3" t="s">
        <v>54</v>
      </c>
      <c r="B138" s="4">
        <v>45419</v>
      </c>
      <c r="C138" s="5" t="s">
        <v>4</v>
      </c>
      <c r="D138" s="95" t="s">
        <v>56</v>
      </c>
      <c r="E138" s="96"/>
      <c r="F138" s="22"/>
      <c r="G138" s="22">
        <v>9200</v>
      </c>
      <c r="I138" s="9" t="s">
        <v>23</v>
      </c>
      <c r="J138" s="11"/>
      <c r="K138" s="25">
        <v>9200</v>
      </c>
      <c r="L138" s="21"/>
      <c r="M138" s="26"/>
      <c r="N138" s="27">
        <f t="shared" si="16"/>
        <v>9200</v>
      </c>
      <c r="O138" s="28"/>
      <c r="P138" s="69">
        <f t="shared" si="23"/>
        <v>836</v>
      </c>
      <c r="Q138" s="70">
        <f t="shared" si="24"/>
        <v>0</v>
      </c>
      <c r="R138" s="27">
        <f t="shared" si="25"/>
        <v>836</v>
      </c>
    </row>
    <row r="139" spans="1:18" x14ac:dyDescent="0.4">
      <c r="A139" s="3" t="s">
        <v>54</v>
      </c>
      <c r="B139" s="4">
        <v>45420</v>
      </c>
      <c r="C139" s="5" t="s">
        <v>4</v>
      </c>
      <c r="D139" s="95" t="s">
        <v>56</v>
      </c>
      <c r="E139" s="96"/>
      <c r="F139" s="22"/>
      <c r="G139" s="22">
        <v>970</v>
      </c>
      <c r="I139" s="9" t="s">
        <v>23</v>
      </c>
      <c r="J139" s="11"/>
      <c r="K139" s="25">
        <v>970</v>
      </c>
      <c r="L139" s="21"/>
      <c r="M139" s="26"/>
      <c r="N139" s="27">
        <f t="shared" si="16"/>
        <v>970</v>
      </c>
      <c r="O139" s="28"/>
      <c r="P139" s="69">
        <f t="shared" si="23"/>
        <v>88</v>
      </c>
      <c r="Q139" s="70">
        <f t="shared" si="24"/>
        <v>0</v>
      </c>
      <c r="R139" s="27">
        <f t="shared" si="25"/>
        <v>88</v>
      </c>
    </row>
    <row r="140" spans="1:18" x14ac:dyDescent="0.4">
      <c r="A140" s="3" t="s">
        <v>54</v>
      </c>
      <c r="B140" s="4">
        <v>45421</v>
      </c>
      <c r="C140" s="5" t="s">
        <v>4</v>
      </c>
      <c r="D140" s="95" t="s">
        <v>56</v>
      </c>
      <c r="E140" s="96"/>
      <c r="F140" s="22"/>
      <c r="G140" s="22">
        <v>1280</v>
      </c>
      <c r="I140" s="9" t="s">
        <v>23</v>
      </c>
      <c r="J140" s="11"/>
      <c r="K140" s="25"/>
      <c r="L140" s="21">
        <v>1280</v>
      </c>
      <c r="M140" s="26"/>
      <c r="N140" s="27">
        <f t="shared" si="16"/>
        <v>1280</v>
      </c>
      <c r="O140" s="28"/>
      <c r="P140" s="69">
        <f t="shared" si="23"/>
        <v>0</v>
      </c>
      <c r="Q140" s="70">
        <f t="shared" si="24"/>
        <v>94</v>
      </c>
      <c r="R140" s="27">
        <f t="shared" si="25"/>
        <v>94</v>
      </c>
    </row>
    <row r="141" spans="1:18" x14ac:dyDescent="0.4">
      <c r="A141" s="3" t="s">
        <v>54</v>
      </c>
      <c r="B141" s="4">
        <v>45421</v>
      </c>
      <c r="C141" s="5" t="s">
        <v>4</v>
      </c>
      <c r="D141" s="95" t="s">
        <v>56</v>
      </c>
      <c r="E141" s="96"/>
      <c r="F141" s="22"/>
      <c r="G141" s="22">
        <v>970</v>
      </c>
      <c r="I141" s="9" t="s">
        <v>23</v>
      </c>
      <c r="J141" s="11"/>
      <c r="K141" s="25">
        <v>970</v>
      </c>
      <c r="L141" s="21"/>
      <c r="M141" s="26"/>
      <c r="N141" s="27">
        <f t="shared" si="16"/>
        <v>970</v>
      </c>
      <c r="O141" s="28"/>
      <c r="P141" s="69">
        <f t="shared" si="23"/>
        <v>88</v>
      </c>
      <c r="Q141" s="70">
        <f t="shared" si="24"/>
        <v>0</v>
      </c>
      <c r="R141" s="27">
        <f t="shared" si="25"/>
        <v>88</v>
      </c>
    </row>
    <row r="142" spans="1:18" x14ac:dyDescent="0.4">
      <c r="A142" s="3" t="s">
        <v>54</v>
      </c>
      <c r="B142" s="4">
        <v>45422</v>
      </c>
      <c r="C142" s="5" t="s">
        <v>57</v>
      </c>
      <c r="D142" s="95" t="s">
        <v>58</v>
      </c>
      <c r="E142" s="96"/>
      <c r="F142" s="22"/>
      <c r="G142" s="22">
        <v>21000</v>
      </c>
      <c r="I142" s="9" t="s">
        <v>29</v>
      </c>
      <c r="J142" s="11"/>
      <c r="K142" s="25">
        <v>21000</v>
      </c>
      <c r="L142" s="21"/>
      <c r="M142" s="26"/>
      <c r="N142" s="27">
        <f t="shared" si="16"/>
        <v>21000</v>
      </c>
      <c r="O142" s="28"/>
      <c r="P142" s="69">
        <f t="shared" si="23"/>
        <v>1909</v>
      </c>
      <c r="Q142" s="70">
        <f t="shared" si="24"/>
        <v>0</v>
      </c>
      <c r="R142" s="27">
        <f t="shared" si="25"/>
        <v>1909</v>
      </c>
    </row>
    <row r="143" spans="1:18" x14ac:dyDescent="0.4">
      <c r="A143" s="3" t="s">
        <v>54</v>
      </c>
      <c r="B143" s="4">
        <v>45422</v>
      </c>
      <c r="C143" s="5" t="s">
        <v>4</v>
      </c>
      <c r="D143" s="95" t="s">
        <v>56</v>
      </c>
      <c r="E143" s="96"/>
      <c r="F143" s="22"/>
      <c r="G143" s="22">
        <v>1201</v>
      </c>
      <c r="I143" s="9" t="s">
        <v>23</v>
      </c>
      <c r="J143" s="11"/>
      <c r="K143" s="25"/>
      <c r="L143" s="21">
        <v>1201</v>
      </c>
      <c r="M143" s="26"/>
      <c r="N143" s="27">
        <f t="shared" si="16"/>
        <v>1201</v>
      </c>
      <c r="O143" s="28"/>
      <c r="P143" s="69">
        <f t="shared" si="23"/>
        <v>0</v>
      </c>
      <c r="Q143" s="70">
        <f t="shared" si="24"/>
        <v>88</v>
      </c>
      <c r="R143" s="27">
        <f t="shared" si="25"/>
        <v>88</v>
      </c>
    </row>
    <row r="144" spans="1:18" x14ac:dyDescent="0.4">
      <c r="A144" s="3" t="s">
        <v>54</v>
      </c>
      <c r="B144" s="4">
        <v>45422</v>
      </c>
      <c r="C144" s="5" t="s">
        <v>57</v>
      </c>
      <c r="D144" s="95" t="s">
        <v>58</v>
      </c>
      <c r="E144" s="96"/>
      <c r="F144" s="22"/>
      <c r="G144" s="22">
        <v>4760</v>
      </c>
      <c r="I144" s="9" t="s">
        <v>23</v>
      </c>
      <c r="J144" s="11"/>
      <c r="K144" s="25">
        <v>4760</v>
      </c>
      <c r="L144" s="21"/>
      <c r="M144" s="26"/>
      <c r="N144" s="27">
        <f t="shared" si="16"/>
        <v>4760</v>
      </c>
      <c r="O144" s="28"/>
      <c r="P144" s="69">
        <f t="shared" si="23"/>
        <v>432</v>
      </c>
      <c r="Q144" s="70">
        <f t="shared" si="24"/>
        <v>0</v>
      </c>
      <c r="R144" s="27">
        <f t="shared" si="25"/>
        <v>432</v>
      </c>
    </row>
    <row r="145" spans="1:18" x14ac:dyDescent="0.4">
      <c r="A145" s="3" t="s">
        <v>54</v>
      </c>
      <c r="B145" s="4">
        <v>45423</v>
      </c>
      <c r="C145" s="5" t="s">
        <v>4</v>
      </c>
      <c r="D145" s="52" t="s">
        <v>56</v>
      </c>
      <c r="E145" s="53"/>
      <c r="F145" s="22"/>
      <c r="G145" s="22">
        <v>1160</v>
      </c>
      <c r="I145" s="9" t="s">
        <v>23</v>
      </c>
      <c r="J145" s="11"/>
      <c r="K145" s="25"/>
      <c r="L145" s="21">
        <v>1160</v>
      </c>
      <c r="M145" s="26"/>
      <c r="N145" s="27">
        <f t="shared" si="16"/>
        <v>1160</v>
      </c>
      <c r="O145" s="28"/>
      <c r="P145" s="69">
        <f t="shared" si="23"/>
        <v>0</v>
      </c>
      <c r="Q145" s="70">
        <f t="shared" si="24"/>
        <v>85</v>
      </c>
      <c r="R145" s="27">
        <f t="shared" si="25"/>
        <v>85</v>
      </c>
    </row>
    <row r="146" spans="1:18" x14ac:dyDescent="0.4">
      <c r="A146" s="3" t="s">
        <v>54</v>
      </c>
      <c r="B146" s="4">
        <v>45423</v>
      </c>
      <c r="C146" s="5" t="s">
        <v>42</v>
      </c>
      <c r="D146" s="52" t="s">
        <v>65</v>
      </c>
      <c r="E146" s="53"/>
      <c r="F146" s="22"/>
      <c r="G146" s="22">
        <v>299</v>
      </c>
      <c r="I146" s="9" t="s">
        <v>23</v>
      </c>
      <c r="J146" s="11"/>
      <c r="K146" s="25">
        <v>299</v>
      </c>
      <c r="L146" s="21"/>
      <c r="M146" s="26"/>
      <c r="N146" s="27">
        <f t="shared" si="16"/>
        <v>299</v>
      </c>
      <c r="O146" s="28"/>
      <c r="P146" s="69">
        <f t="shared" si="23"/>
        <v>27</v>
      </c>
      <c r="Q146" s="70">
        <f t="shared" si="24"/>
        <v>0</v>
      </c>
      <c r="R146" s="27">
        <f t="shared" si="25"/>
        <v>27</v>
      </c>
    </row>
    <row r="147" spans="1:18" x14ac:dyDescent="0.4">
      <c r="A147" s="3" t="s">
        <v>54</v>
      </c>
      <c r="B147" s="4">
        <v>45423</v>
      </c>
      <c r="C147" s="5" t="s">
        <v>4</v>
      </c>
      <c r="D147" s="52" t="s">
        <v>41</v>
      </c>
      <c r="E147" s="53"/>
      <c r="F147" s="22"/>
      <c r="G147" s="22">
        <v>6900</v>
      </c>
      <c r="I147" s="9" t="s">
        <v>23</v>
      </c>
      <c r="J147" s="11"/>
      <c r="K147" s="25">
        <v>6900</v>
      </c>
      <c r="L147" s="21"/>
      <c r="M147" s="26"/>
      <c r="N147" s="27">
        <f t="shared" si="16"/>
        <v>6900</v>
      </c>
      <c r="O147" s="28"/>
      <c r="P147" s="69">
        <f t="shared" si="23"/>
        <v>627</v>
      </c>
      <c r="Q147" s="70">
        <f t="shared" si="24"/>
        <v>0</v>
      </c>
      <c r="R147" s="27">
        <f t="shared" si="25"/>
        <v>627</v>
      </c>
    </row>
    <row r="148" spans="1:18" x14ac:dyDescent="0.4">
      <c r="A148" s="3" t="s">
        <v>54</v>
      </c>
      <c r="B148" s="4">
        <v>45423</v>
      </c>
      <c r="C148" s="5" t="s">
        <v>4</v>
      </c>
      <c r="D148" s="52" t="s">
        <v>56</v>
      </c>
      <c r="E148" s="53"/>
      <c r="F148" s="22"/>
      <c r="G148" s="22">
        <v>8630</v>
      </c>
      <c r="I148" s="9" t="s">
        <v>23</v>
      </c>
      <c r="J148" s="11"/>
      <c r="K148" s="25">
        <v>8630</v>
      </c>
      <c r="L148" s="21"/>
      <c r="M148" s="26"/>
      <c r="N148" s="27">
        <f t="shared" si="16"/>
        <v>8630</v>
      </c>
      <c r="O148" s="28"/>
      <c r="P148" s="69">
        <f t="shared" si="23"/>
        <v>784</v>
      </c>
      <c r="Q148" s="70">
        <f t="shared" si="24"/>
        <v>0</v>
      </c>
      <c r="R148" s="27">
        <f t="shared" si="25"/>
        <v>784</v>
      </c>
    </row>
    <row r="149" spans="1:18" x14ac:dyDescent="0.4">
      <c r="A149" s="3" t="s">
        <v>54</v>
      </c>
      <c r="B149" s="4">
        <v>45424</v>
      </c>
      <c r="C149" s="5" t="s">
        <v>4</v>
      </c>
      <c r="D149" s="52" t="s">
        <v>56</v>
      </c>
      <c r="E149" s="53"/>
      <c r="F149" s="22"/>
      <c r="G149" s="22">
        <v>452</v>
      </c>
      <c r="I149" s="9" t="s">
        <v>23</v>
      </c>
      <c r="J149" s="11"/>
      <c r="K149" s="25"/>
      <c r="L149" s="21">
        <v>452</v>
      </c>
      <c r="M149" s="26"/>
      <c r="N149" s="27">
        <f t="shared" si="16"/>
        <v>452</v>
      </c>
      <c r="O149" s="28"/>
      <c r="P149" s="69">
        <f t="shared" si="23"/>
        <v>0</v>
      </c>
      <c r="Q149" s="70">
        <f t="shared" si="24"/>
        <v>33</v>
      </c>
      <c r="R149" s="27">
        <f t="shared" si="25"/>
        <v>33</v>
      </c>
    </row>
    <row r="150" spans="1:18" x14ac:dyDescent="0.4">
      <c r="A150" s="3" t="s">
        <v>54</v>
      </c>
      <c r="B150" s="4">
        <v>45424</v>
      </c>
      <c r="C150" s="5" t="s">
        <v>4</v>
      </c>
      <c r="D150" s="52" t="s">
        <v>56</v>
      </c>
      <c r="E150" s="53"/>
      <c r="F150" s="22"/>
      <c r="G150" s="22">
        <v>6583</v>
      </c>
      <c r="I150" s="9" t="s">
        <v>23</v>
      </c>
      <c r="J150" s="11"/>
      <c r="K150" s="25">
        <v>6583</v>
      </c>
      <c r="L150" s="21"/>
      <c r="M150" s="26"/>
      <c r="N150" s="27">
        <f t="shared" si="16"/>
        <v>6583</v>
      </c>
      <c r="O150" s="28"/>
      <c r="P150" s="69">
        <f t="shared" si="23"/>
        <v>598</v>
      </c>
      <c r="Q150" s="70">
        <f t="shared" si="24"/>
        <v>0</v>
      </c>
      <c r="R150" s="27">
        <f t="shared" si="25"/>
        <v>598</v>
      </c>
    </row>
    <row r="151" spans="1:18" x14ac:dyDescent="0.4">
      <c r="A151" s="3" t="s">
        <v>54</v>
      </c>
      <c r="B151" s="4">
        <v>45425</v>
      </c>
      <c r="C151" s="5" t="s">
        <v>4</v>
      </c>
      <c r="D151" s="52" t="s">
        <v>56</v>
      </c>
      <c r="E151" s="53"/>
      <c r="F151" s="22"/>
      <c r="G151" s="22">
        <v>1056</v>
      </c>
      <c r="I151" s="9" t="s">
        <v>23</v>
      </c>
      <c r="J151" s="11"/>
      <c r="K151" s="25"/>
      <c r="L151" s="21">
        <v>1056</v>
      </c>
      <c r="M151" s="26"/>
      <c r="N151" s="27">
        <f t="shared" si="16"/>
        <v>1056</v>
      </c>
      <c r="O151" s="28"/>
      <c r="P151" s="69">
        <f t="shared" si="23"/>
        <v>0</v>
      </c>
      <c r="Q151" s="70">
        <f t="shared" si="24"/>
        <v>78</v>
      </c>
      <c r="R151" s="27">
        <f t="shared" si="25"/>
        <v>78</v>
      </c>
    </row>
    <row r="152" spans="1:18" x14ac:dyDescent="0.4">
      <c r="A152" s="3" t="s">
        <v>54</v>
      </c>
      <c r="B152" s="4">
        <v>45426</v>
      </c>
      <c r="C152" s="5" t="s">
        <v>4</v>
      </c>
      <c r="D152" s="52" t="s">
        <v>56</v>
      </c>
      <c r="E152" s="53"/>
      <c r="F152" s="22"/>
      <c r="G152" s="22">
        <v>1158</v>
      </c>
      <c r="I152" s="9" t="s">
        <v>23</v>
      </c>
      <c r="J152" s="11"/>
      <c r="K152" s="25"/>
      <c r="L152" s="21">
        <v>1158</v>
      </c>
      <c r="M152" s="26"/>
      <c r="N152" s="27">
        <f t="shared" si="16"/>
        <v>1158</v>
      </c>
      <c r="O152" s="28"/>
      <c r="P152" s="69">
        <f t="shared" si="23"/>
        <v>0</v>
      </c>
      <c r="Q152" s="70">
        <f t="shared" si="24"/>
        <v>85</v>
      </c>
      <c r="R152" s="27">
        <f t="shared" si="25"/>
        <v>85</v>
      </c>
    </row>
    <row r="153" spans="1:18" x14ac:dyDescent="0.4">
      <c r="A153" s="3" t="s">
        <v>54</v>
      </c>
      <c r="B153" s="4">
        <v>45426</v>
      </c>
      <c r="C153" s="5" t="s">
        <v>4</v>
      </c>
      <c r="D153" s="52" t="s">
        <v>56</v>
      </c>
      <c r="E153" s="53"/>
      <c r="F153" s="22"/>
      <c r="G153" s="22">
        <v>1493</v>
      </c>
      <c r="I153" s="9" t="s">
        <v>23</v>
      </c>
      <c r="J153" s="11"/>
      <c r="K153" s="25"/>
      <c r="L153" s="21">
        <v>1493</v>
      </c>
      <c r="M153" s="26"/>
      <c r="N153" s="27">
        <f t="shared" si="16"/>
        <v>1493</v>
      </c>
      <c r="O153" s="28"/>
      <c r="P153" s="69">
        <f t="shared" si="23"/>
        <v>0</v>
      </c>
      <c r="Q153" s="70">
        <f t="shared" si="24"/>
        <v>110</v>
      </c>
      <c r="R153" s="27">
        <f t="shared" si="25"/>
        <v>110</v>
      </c>
    </row>
    <row r="154" spans="1:18" x14ac:dyDescent="0.4">
      <c r="A154" s="3" t="s">
        <v>54</v>
      </c>
      <c r="B154" s="4">
        <v>45426</v>
      </c>
      <c r="C154" s="5" t="s">
        <v>57</v>
      </c>
      <c r="D154" s="95" t="s">
        <v>58</v>
      </c>
      <c r="E154" s="96"/>
      <c r="F154" s="22"/>
      <c r="G154" s="22">
        <v>7000</v>
      </c>
      <c r="I154" s="9" t="s">
        <v>23</v>
      </c>
      <c r="J154" s="11"/>
      <c r="K154" s="25">
        <v>7000</v>
      </c>
      <c r="L154" s="21"/>
      <c r="M154" s="26"/>
      <c r="N154" s="27">
        <f t="shared" si="16"/>
        <v>7000</v>
      </c>
      <c r="O154" s="28"/>
      <c r="P154" s="69">
        <f t="shared" si="23"/>
        <v>636</v>
      </c>
      <c r="Q154" s="70">
        <f t="shared" si="24"/>
        <v>0</v>
      </c>
      <c r="R154" s="27">
        <f t="shared" si="25"/>
        <v>636</v>
      </c>
    </row>
    <row r="155" spans="1:18" x14ac:dyDescent="0.4">
      <c r="A155" s="3" t="s">
        <v>54</v>
      </c>
      <c r="B155" s="4">
        <v>45427</v>
      </c>
      <c r="C155" s="5" t="s">
        <v>4</v>
      </c>
      <c r="D155" s="52" t="s">
        <v>56</v>
      </c>
      <c r="E155" s="53"/>
      <c r="F155" s="22"/>
      <c r="G155" s="22">
        <v>1214</v>
      </c>
      <c r="I155" s="9" t="s">
        <v>23</v>
      </c>
      <c r="J155" s="11"/>
      <c r="K155" s="25">
        <v>583</v>
      </c>
      <c r="L155" s="21">
        <v>631</v>
      </c>
      <c r="M155" s="26"/>
      <c r="N155" s="27">
        <f t="shared" si="16"/>
        <v>1214</v>
      </c>
      <c r="O155" s="28"/>
      <c r="P155" s="69">
        <f t="shared" si="23"/>
        <v>53</v>
      </c>
      <c r="Q155" s="70">
        <f t="shared" si="24"/>
        <v>46</v>
      </c>
      <c r="R155" s="27">
        <f t="shared" si="25"/>
        <v>99</v>
      </c>
    </row>
    <row r="156" spans="1:18" x14ac:dyDescent="0.4">
      <c r="A156" s="3" t="s">
        <v>54</v>
      </c>
      <c r="B156" s="4">
        <v>45428</v>
      </c>
      <c r="C156" s="5" t="s">
        <v>4</v>
      </c>
      <c r="D156" s="52" t="s">
        <v>56</v>
      </c>
      <c r="E156" s="53"/>
      <c r="F156" s="22"/>
      <c r="G156" s="22">
        <v>1055</v>
      </c>
      <c r="I156" s="9" t="s">
        <v>23</v>
      </c>
      <c r="J156" s="11"/>
      <c r="K156" s="25"/>
      <c r="L156" s="21">
        <v>1055</v>
      </c>
      <c r="M156" s="26"/>
      <c r="N156" s="27">
        <f t="shared" si="16"/>
        <v>1055</v>
      </c>
      <c r="O156" s="28"/>
      <c r="P156" s="69">
        <f t="shared" si="23"/>
        <v>0</v>
      </c>
      <c r="Q156" s="70">
        <f t="shared" si="24"/>
        <v>78</v>
      </c>
      <c r="R156" s="27">
        <f t="shared" si="25"/>
        <v>78</v>
      </c>
    </row>
    <row r="157" spans="1:18" x14ac:dyDescent="0.4">
      <c r="A157" s="6" t="s">
        <v>54</v>
      </c>
      <c r="B157" s="7">
        <v>45428</v>
      </c>
      <c r="C157" s="8" t="s">
        <v>4</v>
      </c>
      <c r="D157" s="98" t="s">
        <v>56</v>
      </c>
      <c r="E157" s="99"/>
      <c r="F157" s="23"/>
      <c r="G157" s="23">
        <v>1996</v>
      </c>
      <c r="I157" s="9" t="s">
        <v>23</v>
      </c>
      <c r="J157" s="11"/>
      <c r="K157" s="30">
        <v>1996</v>
      </c>
      <c r="L157" s="31"/>
      <c r="M157" s="32"/>
      <c r="N157" s="33">
        <f>IF(K157+L157+M157=0,"",K157+L157+M157)</f>
        <v>1996</v>
      </c>
      <c r="O157" s="28"/>
      <c r="P157" s="71">
        <f t="shared" si="23"/>
        <v>181</v>
      </c>
      <c r="Q157" s="72">
        <f t="shared" si="24"/>
        <v>0</v>
      </c>
      <c r="R157" s="33">
        <f>P157+Q157</f>
        <v>181</v>
      </c>
    </row>
    <row r="158" spans="1:18" x14ac:dyDescent="0.4">
      <c r="A158" s="3"/>
      <c r="B158" s="4"/>
      <c r="C158" s="5"/>
      <c r="D158" s="95" t="s">
        <v>68</v>
      </c>
      <c r="E158" s="96"/>
      <c r="F158" s="22"/>
      <c r="G158" s="22"/>
      <c r="I158" s="9"/>
      <c r="J158" s="11"/>
      <c r="K158" s="25"/>
      <c r="L158" s="21"/>
      <c r="M158" s="26"/>
      <c r="N158" s="27" t="str">
        <f t="shared" si="16"/>
        <v/>
      </c>
    </row>
    <row r="159" spans="1:18" x14ac:dyDescent="0.4">
      <c r="A159" s="3" t="s">
        <v>54</v>
      </c>
      <c r="B159" s="4">
        <v>45429</v>
      </c>
      <c r="C159" s="5" t="s">
        <v>4</v>
      </c>
      <c r="D159" s="95" t="s">
        <v>56</v>
      </c>
      <c r="E159" s="96"/>
      <c r="F159" s="20"/>
      <c r="G159" s="21">
        <v>1286</v>
      </c>
      <c r="H159" s="1"/>
      <c r="I159" s="9" t="s">
        <v>23</v>
      </c>
      <c r="J159" s="11"/>
      <c r="K159" s="25"/>
      <c r="L159" s="21">
        <v>1286</v>
      </c>
      <c r="M159" s="26"/>
      <c r="N159" s="27">
        <f t="shared" si="16"/>
        <v>1286</v>
      </c>
      <c r="O159" s="28"/>
      <c r="P159" s="69">
        <f t="shared" ref="P159:P176" si="26">ROUNDDOWN($K159/110*10,0)</f>
        <v>0</v>
      </c>
      <c r="Q159" s="70">
        <f t="shared" ref="Q159:Q176" si="27">ROUNDDOWN($L159/108*8,0)</f>
        <v>95</v>
      </c>
      <c r="R159" s="27">
        <f t="shared" ref="R159:R176" si="28">P159+Q159</f>
        <v>95</v>
      </c>
    </row>
    <row r="160" spans="1:18" x14ac:dyDescent="0.4">
      <c r="A160" s="3" t="s">
        <v>54</v>
      </c>
      <c r="B160" s="4">
        <v>45430</v>
      </c>
      <c r="C160" s="5" t="s">
        <v>4</v>
      </c>
      <c r="D160" s="95" t="s">
        <v>56</v>
      </c>
      <c r="E160" s="96"/>
      <c r="F160" s="22"/>
      <c r="G160" s="22">
        <v>2750</v>
      </c>
      <c r="I160" s="9" t="s">
        <v>29</v>
      </c>
      <c r="J160" s="11"/>
      <c r="K160" s="25">
        <v>2750</v>
      </c>
      <c r="L160" s="21"/>
      <c r="M160" s="26"/>
      <c r="N160" s="27">
        <f t="shared" si="16"/>
        <v>2750</v>
      </c>
      <c r="O160" s="28"/>
      <c r="P160" s="69">
        <f t="shared" si="26"/>
        <v>250</v>
      </c>
      <c r="Q160" s="70">
        <f t="shared" si="27"/>
        <v>0</v>
      </c>
      <c r="R160" s="27">
        <f t="shared" si="28"/>
        <v>250</v>
      </c>
    </row>
    <row r="161" spans="1:18" x14ac:dyDescent="0.4">
      <c r="A161" s="3" t="s">
        <v>54</v>
      </c>
      <c r="B161" s="4">
        <v>45430</v>
      </c>
      <c r="C161" s="5" t="s">
        <v>4</v>
      </c>
      <c r="D161" s="95" t="s">
        <v>56</v>
      </c>
      <c r="E161" s="96"/>
      <c r="F161" s="22"/>
      <c r="G161" s="22">
        <v>3390</v>
      </c>
      <c r="I161" s="9" t="s">
        <v>23</v>
      </c>
      <c r="J161" s="11"/>
      <c r="K161" s="25">
        <v>3390</v>
      </c>
      <c r="L161" s="21"/>
      <c r="M161" s="26"/>
      <c r="N161" s="27">
        <f t="shared" si="16"/>
        <v>3390</v>
      </c>
      <c r="O161" s="28"/>
      <c r="P161" s="69">
        <f t="shared" si="26"/>
        <v>308</v>
      </c>
      <c r="Q161" s="70">
        <f t="shared" si="27"/>
        <v>0</v>
      </c>
      <c r="R161" s="27">
        <f t="shared" si="28"/>
        <v>308</v>
      </c>
    </row>
    <row r="162" spans="1:18" x14ac:dyDescent="0.4">
      <c r="A162" s="3" t="s">
        <v>54</v>
      </c>
      <c r="B162" s="4">
        <v>45430</v>
      </c>
      <c r="C162" s="5" t="s">
        <v>57</v>
      </c>
      <c r="D162" s="95" t="s">
        <v>58</v>
      </c>
      <c r="E162" s="96"/>
      <c r="F162" s="22"/>
      <c r="G162" s="22">
        <v>21000</v>
      </c>
      <c r="I162" s="9" t="s">
        <v>29</v>
      </c>
      <c r="J162" s="11"/>
      <c r="K162" s="25">
        <v>21000</v>
      </c>
      <c r="L162" s="21"/>
      <c r="M162" s="26"/>
      <c r="N162" s="27">
        <f>IF(K162+L162+M162=0,"",K162+L162+M162)</f>
        <v>21000</v>
      </c>
      <c r="O162" s="28"/>
      <c r="P162" s="69">
        <f>ROUNDDOWN($K162/110*10,0)</f>
        <v>1909</v>
      </c>
      <c r="Q162" s="70">
        <f>ROUNDDOWN($L162/108*8,0)</f>
        <v>0</v>
      </c>
      <c r="R162" s="27">
        <f>P162+Q162</f>
        <v>1909</v>
      </c>
    </row>
    <row r="163" spans="1:18" x14ac:dyDescent="0.4">
      <c r="A163" s="3" t="s">
        <v>54</v>
      </c>
      <c r="B163" s="4">
        <v>45431</v>
      </c>
      <c r="C163" s="5" t="s">
        <v>4</v>
      </c>
      <c r="D163" s="95" t="s">
        <v>56</v>
      </c>
      <c r="E163" s="96"/>
      <c r="F163" s="22"/>
      <c r="G163" s="22">
        <v>2180</v>
      </c>
      <c r="I163" s="9" t="s">
        <v>23</v>
      </c>
      <c r="J163" s="11"/>
      <c r="K163" s="25">
        <v>2180</v>
      </c>
      <c r="L163" s="21"/>
      <c r="M163" s="26"/>
      <c r="N163" s="27">
        <f t="shared" si="16"/>
        <v>2180</v>
      </c>
      <c r="O163" s="28"/>
      <c r="P163" s="69">
        <f t="shared" si="26"/>
        <v>198</v>
      </c>
      <c r="Q163" s="70">
        <f t="shared" si="27"/>
        <v>0</v>
      </c>
      <c r="R163" s="27">
        <f t="shared" si="28"/>
        <v>198</v>
      </c>
    </row>
    <row r="164" spans="1:18" x14ac:dyDescent="0.4">
      <c r="A164" s="3" t="s">
        <v>54</v>
      </c>
      <c r="B164" s="4">
        <v>45432</v>
      </c>
      <c r="C164" s="5" t="s">
        <v>4</v>
      </c>
      <c r="D164" s="95" t="s">
        <v>56</v>
      </c>
      <c r="E164" s="96"/>
      <c r="F164" s="22"/>
      <c r="G164" s="22">
        <v>1266</v>
      </c>
      <c r="I164" s="9" t="s">
        <v>23</v>
      </c>
      <c r="J164" s="11"/>
      <c r="K164" s="25"/>
      <c r="L164" s="21">
        <v>1266</v>
      </c>
      <c r="M164" s="26"/>
      <c r="N164" s="27">
        <f t="shared" si="16"/>
        <v>1266</v>
      </c>
      <c r="O164" s="28"/>
      <c r="P164" s="69">
        <f t="shared" si="26"/>
        <v>0</v>
      </c>
      <c r="Q164" s="70">
        <f t="shared" si="27"/>
        <v>93</v>
      </c>
      <c r="R164" s="27">
        <f t="shared" si="28"/>
        <v>93</v>
      </c>
    </row>
    <row r="165" spans="1:18" x14ac:dyDescent="0.4">
      <c r="A165" s="3" t="s">
        <v>54</v>
      </c>
      <c r="B165" s="4">
        <v>45433</v>
      </c>
      <c r="C165" s="5" t="s">
        <v>4</v>
      </c>
      <c r="D165" s="95" t="s">
        <v>56</v>
      </c>
      <c r="E165" s="96"/>
      <c r="F165" s="22"/>
      <c r="G165" s="22">
        <v>2264</v>
      </c>
      <c r="I165" s="9" t="s">
        <v>23</v>
      </c>
      <c r="J165" s="11"/>
      <c r="K165" s="25">
        <v>1165</v>
      </c>
      <c r="L165" s="21">
        <v>1099</v>
      </c>
      <c r="M165" s="26"/>
      <c r="N165" s="27">
        <f>IF(K165+L165+M165=0,"",K165+L165+M165)</f>
        <v>2264</v>
      </c>
      <c r="O165" s="28"/>
      <c r="P165" s="69">
        <f>ROUNDDOWN($K165/110*10,0)</f>
        <v>105</v>
      </c>
      <c r="Q165" s="70">
        <f>ROUNDDOWN($L165/108*8,0)</f>
        <v>81</v>
      </c>
      <c r="R165" s="27">
        <f>P165+Q165</f>
        <v>186</v>
      </c>
    </row>
    <row r="166" spans="1:18" x14ac:dyDescent="0.4">
      <c r="A166" s="3" t="s">
        <v>54</v>
      </c>
      <c r="B166" s="4">
        <v>45433</v>
      </c>
      <c r="C166" s="5" t="s">
        <v>57</v>
      </c>
      <c r="D166" s="95" t="s">
        <v>58</v>
      </c>
      <c r="E166" s="96"/>
      <c r="F166" s="22"/>
      <c r="G166" s="22">
        <v>10700</v>
      </c>
      <c r="I166" s="9" t="s">
        <v>29</v>
      </c>
      <c r="J166" s="11"/>
      <c r="K166" s="25">
        <v>10700</v>
      </c>
      <c r="L166" s="21"/>
      <c r="M166" s="26"/>
      <c r="N166" s="27">
        <f t="shared" si="16"/>
        <v>10700</v>
      </c>
      <c r="O166" s="28"/>
      <c r="P166" s="69">
        <f t="shared" si="26"/>
        <v>972</v>
      </c>
      <c r="Q166" s="70">
        <f t="shared" si="27"/>
        <v>0</v>
      </c>
      <c r="R166" s="27">
        <f t="shared" si="28"/>
        <v>972</v>
      </c>
    </row>
    <row r="167" spans="1:18" x14ac:dyDescent="0.4">
      <c r="A167" s="3" t="s">
        <v>54</v>
      </c>
      <c r="B167" s="4">
        <v>45434</v>
      </c>
      <c r="C167" s="5" t="s">
        <v>4</v>
      </c>
      <c r="D167" s="95" t="s">
        <v>56</v>
      </c>
      <c r="E167" s="96"/>
      <c r="F167" s="22"/>
      <c r="G167" s="22">
        <v>1878</v>
      </c>
      <c r="I167" s="9" t="s">
        <v>23</v>
      </c>
      <c r="J167" s="11"/>
      <c r="K167" s="25">
        <v>585</v>
      </c>
      <c r="L167" s="21">
        <v>1293</v>
      </c>
      <c r="M167" s="26"/>
      <c r="N167" s="27">
        <f t="shared" si="16"/>
        <v>1878</v>
      </c>
      <c r="O167" s="28"/>
      <c r="P167" s="69">
        <f t="shared" si="26"/>
        <v>53</v>
      </c>
      <c r="Q167" s="70">
        <f t="shared" si="27"/>
        <v>95</v>
      </c>
      <c r="R167" s="27">
        <f t="shared" si="28"/>
        <v>148</v>
      </c>
    </row>
    <row r="168" spans="1:18" x14ac:dyDescent="0.4">
      <c r="A168" s="3" t="s">
        <v>54</v>
      </c>
      <c r="B168" s="4">
        <v>45434</v>
      </c>
      <c r="C168" s="5" t="s">
        <v>4</v>
      </c>
      <c r="D168" s="95" t="s">
        <v>56</v>
      </c>
      <c r="E168" s="96"/>
      <c r="F168" s="22"/>
      <c r="G168" s="22">
        <v>1450</v>
      </c>
      <c r="I168" s="9" t="s">
        <v>29</v>
      </c>
      <c r="J168" s="11"/>
      <c r="K168" s="25">
        <v>1450</v>
      </c>
      <c r="L168" s="21"/>
      <c r="M168" s="26"/>
      <c r="N168" s="27">
        <f>IF(K168+L168+M168=0,"",K168+L168+M168)</f>
        <v>1450</v>
      </c>
      <c r="O168" s="28"/>
      <c r="P168" s="69">
        <f>ROUNDDOWN($K168/110*10,0)</f>
        <v>131</v>
      </c>
      <c r="Q168" s="70">
        <f>ROUNDDOWN($L168/108*8,0)</f>
        <v>0</v>
      </c>
      <c r="R168" s="27">
        <f>P168+Q168</f>
        <v>131</v>
      </c>
    </row>
    <row r="169" spans="1:18" x14ac:dyDescent="0.4">
      <c r="A169" s="3" t="s">
        <v>54</v>
      </c>
      <c r="B169" s="4">
        <v>45435</v>
      </c>
      <c r="C169" s="5" t="s">
        <v>4</v>
      </c>
      <c r="D169" s="95" t="s">
        <v>56</v>
      </c>
      <c r="E169" s="96"/>
      <c r="F169" s="22"/>
      <c r="G169" s="22">
        <v>1244</v>
      </c>
      <c r="I169" s="9" t="s">
        <v>23</v>
      </c>
      <c r="J169" s="11"/>
      <c r="K169" s="25"/>
      <c r="L169" s="21">
        <v>1244</v>
      </c>
      <c r="M169" s="26"/>
      <c r="N169" s="27">
        <f t="shared" si="16"/>
        <v>1244</v>
      </c>
      <c r="O169" s="28"/>
      <c r="P169" s="69">
        <f t="shared" si="26"/>
        <v>0</v>
      </c>
      <c r="Q169" s="70">
        <f t="shared" si="27"/>
        <v>92</v>
      </c>
      <c r="R169" s="27">
        <f t="shared" si="28"/>
        <v>92</v>
      </c>
    </row>
    <row r="170" spans="1:18" x14ac:dyDescent="0.4">
      <c r="A170" s="3" t="s">
        <v>54</v>
      </c>
      <c r="B170" s="4">
        <v>45435</v>
      </c>
      <c r="C170" s="5" t="s">
        <v>57</v>
      </c>
      <c r="D170" s="95" t="s">
        <v>66</v>
      </c>
      <c r="E170" s="96"/>
      <c r="F170" s="22"/>
      <c r="G170" s="22">
        <v>29601</v>
      </c>
      <c r="I170" s="9" t="s">
        <v>23</v>
      </c>
      <c r="J170" s="11"/>
      <c r="K170" s="25">
        <v>29601</v>
      </c>
      <c r="L170" s="21"/>
      <c r="M170" s="29"/>
      <c r="N170" s="27">
        <f t="shared" si="16"/>
        <v>29601</v>
      </c>
      <c r="O170" s="28"/>
      <c r="P170" s="69">
        <f t="shared" si="26"/>
        <v>2691</v>
      </c>
      <c r="Q170" s="70">
        <f t="shared" si="27"/>
        <v>0</v>
      </c>
      <c r="R170" s="27">
        <f t="shared" si="28"/>
        <v>2691</v>
      </c>
    </row>
    <row r="171" spans="1:18" x14ac:dyDescent="0.4">
      <c r="A171" s="3" t="s">
        <v>54</v>
      </c>
      <c r="B171" s="4">
        <v>45435</v>
      </c>
      <c r="C171" s="5" t="s">
        <v>4</v>
      </c>
      <c r="D171" s="95" t="s">
        <v>56</v>
      </c>
      <c r="E171" s="96"/>
      <c r="F171" s="22"/>
      <c r="G171" s="22">
        <v>2500</v>
      </c>
      <c r="I171" s="9" t="s">
        <v>23</v>
      </c>
      <c r="J171" s="11"/>
      <c r="K171" s="25">
        <v>2500</v>
      </c>
      <c r="L171" s="21"/>
      <c r="M171" s="26"/>
      <c r="N171" s="27">
        <f t="shared" si="16"/>
        <v>2500</v>
      </c>
      <c r="O171" s="28"/>
      <c r="P171" s="69">
        <f t="shared" si="26"/>
        <v>227</v>
      </c>
      <c r="Q171" s="70">
        <f t="shared" si="27"/>
        <v>0</v>
      </c>
      <c r="R171" s="27">
        <f t="shared" si="28"/>
        <v>227</v>
      </c>
    </row>
    <row r="172" spans="1:18" x14ac:dyDescent="0.4">
      <c r="A172" s="3" t="s">
        <v>54</v>
      </c>
      <c r="B172" s="4">
        <v>45435</v>
      </c>
      <c r="C172" s="5" t="s">
        <v>4</v>
      </c>
      <c r="D172" s="95" t="s">
        <v>67</v>
      </c>
      <c r="E172" s="96"/>
      <c r="F172" s="22"/>
      <c r="G172" s="22">
        <v>6000</v>
      </c>
      <c r="I172" s="9" t="s">
        <v>23</v>
      </c>
      <c r="J172" s="11"/>
      <c r="K172" s="25">
        <v>6000</v>
      </c>
      <c r="L172" s="21"/>
      <c r="M172" s="26"/>
      <c r="N172" s="27">
        <f t="shared" si="16"/>
        <v>6000</v>
      </c>
      <c r="O172" s="28"/>
      <c r="P172" s="69">
        <f t="shared" si="26"/>
        <v>545</v>
      </c>
      <c r="Q172" s="70">
        <f t="shared" si="27"/>
        <v>0</v>
      </c>
      <c r="R172" s="27">
        <f t="shared" si="28"/>
        <v>545</v>
      </c>
    </row>
    <row r="173" spans="1:18" x14ac:dyDescent="0.4">
      <c r="A173" s="3" t="s">
        <v>54</v>
      </c>
      <c r="B173" s="4">
        <v>45436</v>
      </c>
      <c r="C173" s="5" t="s">
        <v>4</v>
      </c>
      <c r="D173" s="95" t="s">
        <v>41</v>
      </c>
      <c r="E173" s="96"/>
      <c r="F173" s="22"/>
      <c r="G173" s="22">
        <v>9020</v>
      </c>
      <c r="I173" s="9" t="s">
        <v>23</v>
      </c>
      <c r="J173" s="11"/>
      <c r="K173" s="25">
        <v>9020</v>
      </c>
      <c r="L173" s="21"/>
      <c r="M173" s="26"/>
      <c r="N173" s="27">
        <f t="shared" si="16"/>
        <v>9020</v>
      </c>
      <c r="O173" s="28"/>
      <c r="P173" s="69">
        <f t="shared" si="26"/>
        <v>820</v>
      </c>
      <c r="Q173" s="70">
        <f t="shared" si="27"/>
        <v>0</v>
      </c>
      <c r="R173" s="27">
        <f t="shared" si="28"/>
        <v>820</v>
      </c>
    </row>
    <row r="174" spans="1:18" x14ac:dyDescent="0.4">
      <c r="A174" s="3" t="s">
        <v>54</v>
      </c>
      <c r="B174" s="4">
        <v>45437</v>
      </c>
      <c r="C174" s="5" t="s">
        <v>4</v>
      </c>
      <c r="D174" s="95" t="s">
        <v>55</v>
      </c>
      <c r="E174" s="96"/>
      <c r="F174" s="22"/>
      <c r="G174" s="22">
        <v>600</v>
      </c>
      <c r="I174" s="9" t="s">
        <v>23</v>
      </c>
      <c r="J174" s="11"/>
      <c r="K174" s="25">
        <v>600</v>
      </c>
      <c r="L174" s="21"/>
      <c r="M174" s="26"/>
      <c r="N174" s="27">
        <f t="shared" si="16"/>
        <v>600</v>
      </c>
      <c r="O174" s="28"/>
      <c r="P174" s="69">
        <f t="shared" si="26"/>
        <v>54</v>
      </c>
      <c r="Q174" s="70">
        <f t="shared" si="27"/>
        <v>0</v>
      </c>
      <c r="R174" s="27">
        <f t="shared" si="28"/>
        <v>54</v>
      </c>
    </row>
    <row r="175" spans="1:18" x14ac:dyDescent="0.4">
      <c r="A175" s="3" t="s">
        <v>54</v>
      </c>
      <c r="B175" s="4">
        <v>45438</v>
      </c>
      <c r="C175" s="5" t="s">
        <v>4</v>
      </c>
      <c r="D175" s="95" t="s">
        <v>55</v>
      </c>
      <c r="E175" s="96"/>
      <c r="F175" s="22"/>
      <c r="G175" s="22">
        <v>600</v>
      </c>
      <c r="I175" s="9" t="s">
        <v>23</v>
      </c>
      <c r="J175" s="11"/>
      <c r="K175" s="25">
        <v>600</v>
      </c>
      <c r="L175" s="21"/>
      <c r="M175" s="26"/>
      <c r="N175" s="27">
        <f t="shared" si="16"/>
        <v>600</v>
      </c>
      <c r="O175" s="28"/>
      <c r="P175" s="69">
        <f t="shared" si="26"/>
        <v>54</v>
      </c>
      <c r="Q175" s="70">
        <f t="shared" si="27"/>
        <v>0</v>
      </c>
      <c r="R175" s="27">
        <f t="shared" si="28"/>
        <v>54</v>
      </c>
    </row>
    <row r="176" spans="1:18" x14ac:dyDescent="0.4">
      <c r="A176" s="3" t="s">
        <v>54</v>
      </c>
      <c r="B176" s="4">
        <v>45439</v>
      </c>
      <c r="C176" s="5" t="s">
        <v>4</v>
      </c>
      <c r="D176" s="95" t="s">
        <v>55</v>
      </c>
      <c r="E176" s="96"/>
      <c r="F176" s="22"/>
      <c r="G176" s="22">
        <v>600</v>
      </c>
      <c r="I176" s="9" t="s">
        <v>23</v>
      </c>
      <c r="J176" s="11"/>
      <c r="K176" s="25">
        <v>600</v>
      </c>
      <c r="L176" s="21"/>
      <c r="M176" s="26"/>
      <c r="N176" s="27">
        <f t="shared" si="16"/>
        <v>600</v>
      </c>
      <c r="O176" s="28"/>
      <c r="P176" s="69">
        <f t="shared" si="26"/>
        <v>54</v>
      </c>
      <c r="Q176" s="70">
        <f t="shared" si="27"/>
        <v>0</v>
      </c>
      <c r="R176" s="27">
        <f t="shared" si="28"/>
        <v>54</v>
      </c>
    </row>
    <row r="177" spans="1:18" x14ac:dyDescent="0.4">
      <c r="A177" s="3"/>
      <c r="B177" s="4"/>
      <c r="C177" s="5"/>
      <c r="D177" s="95" t="s">
        <v>69</v>
      </c>
      <c r="E177" s="96"/>
      <c r="F177" s="22"/>
      <c r="G177" s="22"/>
      <c r="I177" s="9"/>
      <c r="J177" s="11"/>
      <c r="K177" s="25"/>
      <c r="L177" s="21"/>
      <c r="M177" s="26"/>
      <c r="N177" s="27" t="str">
        <f t="shared" si="16"/>
        <v/>
      </c>
    </row>
    <row r="178" spans="1:18" x14ac:dyDescent="0.4">
      <c r="A178" s="3" t="s">
        <v>54</v>
      </c>
      <c r="B178" s="4">
        <v>45381</v>
      </c>
      <c r="C178" s="5" t="s">
        <v>4</v>
      </c>
      <c r="D178" s="95" t="s">
        <v>70</v>
      </c>
      <c r="E178" s="96"/>
      <c r="F178" s="20"/>
      <c r="G178" s="21">
        <v>300</v>
      </c>
      <c r="H178" s="1"/>
      <c r="I178" s="9" t="s">
        <v>23</v>
      </c>
      <c r="J178" s="11"/>
      <c r="K178" s="21">
        <v>300</v>
      </c>
      <c r="L178" s="21"/>
      <c r="M178" s="26"/>
      <c r="N178" s="27">
        <f t="shared" si="16"/>
        <v>300</v>
      </c>
      <c r="O178" s="28"/>
      <c r="P178" s="69">
        <f t="shared" ref="P178:P195" si="29">ROUNDDOWN($K178/110*10,0)</f>
        <v>27</v>
      </c>
      <c r="Q178" s="70">
        <f t="shared" ref="Q178:Q195" si="30">ROUNDDOWN($L178/108*8,0)</f>
        <v>0</v>
      </c>
      <c r="R178" s="27">
        <f t="shared" ref="R178:R195" si="31">P178+Q178</f>
        <v>27</v>
      </c>
    </row>
    <row r="179" spans="1:18" x14ac:dyDescent="0.4">
      <c r="A179" s="3" t="s">
        <v>54</v>
      </c>
      <c r="B179" s="4">
        <v>45381</v>
      </c>
      <c r="C179" s="5" t="s">
        <v>4</v>
      </c>
      <c r="D179" s="95" t="s">
        <v>71</v>
      </c>
      <c r="E179" s="96"/>
      <c r="F179" s="22"/>
      <c r="G179" s="22">
        <v>410</v>
      </c>
      <c r="I179" s="9" t="s">
        <v>23</v>
      </c>
      <c r="J179" s="11"/>
      <c r="K179" s="22">
        <v>410</v>
      </c>
      <c r="L179" s="21"/>
      <c r="M179" s="26"/>
      <c r="N179" s="27">
        <f t="shared" si="16"/>
        <v>410</v>
      </c>
      <c r="O179" s="28"/>
      <c r="P179" s="69">
        <f t="shared" si="29"/>
        <v>37</v>
      </c>
      <c r="Q179" s="70">
        <f t="shared" si="30"/>
        <v>0</v>
      </c>
      <c r="R179" s="27">
        <f t="shared" si="31"/>
        <v>37</v>
      </c>
    </row>
    <row r="180" spans="1:18" x14ac:dyDescent="0.4">
      <c r="A180" s="3" t="s">
        <v>54</v>
      </c>
      <c r="B180" s="4">
        <v>45381</v>
      </c>
      <c r="C180" s="5" t="s">
        <v>4</v>
      </c>
      <c r="D180" s="95" t="s">
        <v>72</v>
      </c>
      <c r="E180" s="96"/>
      <c r="F180" s="22"/>
      <c r="G180" s="22">
        <v>320</v>
      </c>
      <c r="I180" s="9" t="s">
        <v>23</v>
      </c>
      <c r="J180" s="11"/>
      <c r="K180" s="22">
        <v>320</v>
      </c>
      <c r="L180" s="21"/>
      <c r="M180" s="26"/>
      <c r="N180" s="27">
        <f t="shared" si="16"/>
        <v>320</v>
      </c>
      <c r="O180" s="28"/>
      <c r="P180" s="69">
        <f t="shared" si="29"/>
        <v>29</v>
      </c>
      <c r="Q180" s="70">
        <f t="shared" si="30"/>
        <v>0</v>
      </c>
      <c r="R180" s="27">
        <f t="shared" si="31"/>
        <v>29</v>
      </c>
    </row>
    <row r="181" spans="1:18" x14ac:dyDescent="0.4">
      <c r="A181" s="3" t="s">
        <v>54</v>
      </c>
      <c r="B181" s="4">
        <v>45382</v>
      </c>
      <c r="C181" s="5" t="s">
        <v>4</v>
      </c>
      <c r="D181" s="95" t="s">
        <v>73</v>
      </c>
      <c r="E181" s="96"/>
      <c r="F181" s="22"/>
      <c r="G181" s="22">
        <v>220</v>
      </c>
      <c r="I181" s="9" t="s">
        <v>23</v>
      </c>
      <c r="J181" s="11"/>
      <c r="K181" s="22">
        <v>220</v>
      </c>
      <c r="L181" s="21"/>
      <c r="M181" s="26"/>
      <c r="N181" s="27">
        <f>IF(K181+L181+M181=0,"",K181+L181+M181)</f>
        <v>220</v>
      </c>
      <c r="O181" s="28"/>
      <c r="P181" s="69">
        <f>ROUNDDOWN($K181/110*10,0)</f>
        <v>20</v>
      </c>
      <c r="Q181" s="70">
        <f>ROUNDDOWN($L181/108*8,0)</f>
        <v>0</v>
      </c>
      <c r="R181" s="27">
        <f>P181+Q181</f>
        <v>20</v>
      </c>
    </row>
    <row r="182" spans="1:18" x14ac:dyDescent="0.4">
      <c r="A182" s="3" t="s">
        <v>54</v>
      </c>
      <c r="B182" s="4">
        <v>45382</v>
      </c>
      <c r="C182" s="5" t="s">
        <v>4</v>
      </c>
      <c r="D182" s="95" t="s">
        <v>74</v>
      </c>
      <c r="E182" s="96"/>
      <c r="F182" s="22"/>
      <c r="G182" s="22">
        <v>8480</v>
      </c>
      <c r="I182" s="9" t="s">
        <v>23</v>
      </c>
      <c r="J182" s="11"/>
      <c r="K182" s="22">
        <v>8480</v>
      </c>
      <c r="L182" s="21"/>
      <c r="M182" s="26"/>
      <c r="N182" s="27">
        <f t="shared" si="16"/>
        <v>8480</v>
      </c>
      <c r="O182" s="28"/>
      <c r="P182" s="69">
        <f t="shared" si="29"/>
        <v>770</v>
      </c>
      <c r="Q182" s="70">
        <f t="shared" si="30"/>
        <v>0</v>
      </c>
      <c r="R182" s="27">
        <f t="shared" si="31"/>
        <v>770</v>
      </c>
    </row>
    <row r="183" spans="1:18" x14ac:dyDescent="0.4">
      <c r="A183" s="3" t="s">
        <v>54</v>
      </c>
      <c r="B183" s="4">
        <v>45382</v>
      </c>
      <c r="C183" s="5" t="s">
        <v>4</v>
      </c>
      <c r="D183" s="95" t="s">
        <v>75</v>
      </c>
      <c r="E183" s="96"/>
      <c r="F183" s="22"/>
      <c r="G183" s="22">
        <v>1860</v>
      </c>
      <c r="I183" s="9" t="s">
        <v>23</v>
      </c>
      <c r="J183" s="11"/>
      <c r="K183" s="22">
        <v>1860</v>
      </c>
      <c r="L183" s="21"/>
      <c r="M183" s="26"/>
      <c r="N183" s="27">
        <f t="shared" si="16"/>
        <v>1860</v>
      </c>
      <c r="O183" s="28"/>
      <c r="P183" s="69">
        <f t="shared" si="29"/>
        <v>169</v>
      </c>
      <c r="Q183" s="70">
        <f t="shared" si="30"/>
        <v>0</v>
      </c>
      <c r="R183" s="27">
        <f t="shared" si="31"/>
        <v>169</v>
      </c>
    </row>
    <row r="184" spans="1:18" x14ac:dyDescent="0.4">
      <c r="A184" s="3" t="s">
        <v>54</v>
      </c>
      <c r="B184" s="4">
        <v>45409</v>
      </c>
      <c r="C184" s="5" t="s">
        <v>4</v>
      </c>
      <c r="D184" s="95" t="s">
        <v>76</v>
      </c>
      <c r="E184" s="96"/>
      <c r="F184" s="22"/>
      <c r="G184" s="22">
        <v>2770</v>
      </c>
      <c r="I184" s="9" t="s">
        <v>23</v>
      </c>
      <c r="J184" s="11"/>
      <c r="K184" s="22">
        <v>2770</v>
      </c>
      <c r="L184" s="21"/>
      <c r="M184" s="26"/>
      <c r="N184" s="27">
        <f>IF(K184+L184+M184=0,"",K184+L184+M184)</f>
        <v>2770</v>
      </c>
      <c r="O184" s="28"/>
      <c r="P184" s="69">
        <f>ROUNDDOWN($K184/110*10,0)</f>
        <v>251</v>
      </c>
      <c r="Q184" s="70">
        <f>ROUNDDOWN($L184/108*8,0)</f>
        <v>0</v>
      </c>
      <c r="R184" s="27">
        <f>P184+Q184</f>
        <v>251</v>
      </c>
    </row>
    <row r="185" spans="1:18" x14ac:dyDescent="0.4">
      <c r="A185" s="3" t="s">
        <v>54</v>
      </c>
      <c r="B185" s="4">
        <v>45409</v>
      </c>
      <c r="C185" s="5" t="s">
        <v>4</v>
      </c>
      <c r="D185" s="95" t="s">
        <v>77</v>
      </c>
      <c r="E185" s="96"/>
      <c r="F185" s="22"/>
      <c r="G185" s="22">
        <v>8670</v>
      </c>
      <c r="I185" s="9" t="s">
        <v>23</v>
      </c>
      <c r="J185" s="11"/>
      <c r="K185" s="22">
        <v>8670</v>
      </c>
      <c r="L185" s="21"/>
      <c r="M185" s="26"/>
      <c r="N185" s="27">
        <f t="shared" si="16"/>
        <v>8670</v>
      </c>
      <c r="O185" s="28"/>
      <c r="P185" s="69">
        <f t="shared" si="29"/>
        <v>788</v>
      </c>
      <c r="Q185" s="70">
        <f t="shared" si="30"/>
        <v>0</v>
      </c>
      <c r="R185" s="27">
        <f t="shared" si="31"/>
        <v>788</v>
      </c>
    </row>
    <row r="186" spans="1:18" x14ac:dyDescent="0.4">
      <c r="A186" s="3" t="s">
        <v>54</v>
      </c>
      <c r="B186" s="4">
        <v>45409</v>
      </c>
      <c r="C186" s="5" t="s">
        <v>4</v>
      </c>
      <c r="D186" s="95" t="s">
        <v>78</v>
      </c>
      <c r="E186" s="96"/>
      <c r="F186" s="22"/>
      <c r="G186" s="22">
        <v>640</v>
      </c>
      <c r="I186" s="9" t="s">
        <v>23</v>
      </c>
      <c r="J186" s="11"/>
      <c r="K186" s="22">
        <v>640</v>
      </c>
      <c r="L186" s="21"/>
      <c r="M186" s="26"/>
      <c r="N186" s="27">
        <f t="shared" si="16"/>
        <v>640</v>
      </c>
      <c r="O186" s="28"/>
      <c r="P186" s="69">
        <f t="shared" si="29"/>
        <v>58</v>
      </c>
      <c r="Q186" s="70">
        <f t="shared" si="30"/>
        <v>0</v>
      </c>
      <c r="R186" s="27">
        <f t="shared" si="31"/>
        <v>58</v>
      </c>
    </row>
    <row r="187" spans="1:18" x14ac:dyDescent="0.4">
      <c r="A187" s="3" t="s">
        <v>54</v>
      </c>
      <c r="B187" s="4">
        <v>45409</v>
      </c>
      <c r="C187" s="5" t="s">
        <v>4</v>
      </c>
      <c r="D187" s="95" t="s">
        <v>71</v>
      </c>
      <c r="E187" s="96"/>
      <c r="F187" s="22"/>
      <c r="G187" s="22">
        <v>410</v>
      </c>
      <c r="I187" s="9" t="s">
        <v>23</v>
      </c>
      <c r="J187" s="11"/>
      <c r="K187" s="22">
        <v>410</v>
      </c>
      <c r="L187" s="21"/>
      <c r="M187" s="26"/>
      <c r="N187" s="27">
        <f>IF(K187+L187+M187=0,"",K187+L187+M187)</f>
        <v>410</v>
      </c>
      <c r="O187" s="28"/>
      <c r="P187" s="69">
        <f>ROUNDDOWN($K187/110*10,0)</f>
        <v>37</v>
      </c>
      <c r="Q187" s="70">
        <f>ROUNDDOWN($L187/108*8,0)</f>
        <v>0</v>
      </c>
      <c r="R187" s="27">
        <f>P187+Q187</f>
        <v>37</v>
      </c>
    </row>
    <row r="188" spans="1:18" x14ac:dyDescent="0.4">
      <c r="A188" s="3" t="s">
        <v>54</v>
      </c>
      <c r="B188" s="4">
        <v>45409</v>
      </c>
      <c r="C188" s="5" t="s">
        <v>4</v>
      </c>
      <c r="D188" s="95" t="s">
        <v>72</v>
      </c>
      <c r="E188" s="96"/>
      <c r="F188" s="22"/>
      <c r="G188" s="22">
        <v>320</v>
      </c>
      <c r="I188" s="9" t="s">
        <v>23</v>
      </c>
      <c r="J188" s="11"/>
      <c r="K188" s="22">
        <v>320</v>
      </c>
      <c r="L188" s="21"/>
      <c r="M188" s="26"/>
      <c r="N188" s="27">
        <f t="shared" si="16"/>
        <v>320</v>
      </c>
      <c r="O188" s="28"/>
      <c r="P188" s="69">
        <f t="shared" si="29"/>
        <v>29</v>
      </c>
      <c r="Q188" s="70">
        <f t="shared" si="30"/>
        <v>0</v>
      </c>
      <c r="R188" s="27">
        <f t="shared" si="31"/>
        <v>29</v>
      </c>
    </row>
    <row r="189" spans="1:18" x14ac:dyDescent="0.4">
      <c r="A189" s="3" t="s">
        <v>54</v>
      </c>
      <c r="B189" s="4">
        <v>45419</v>
      </c>
      <c r="C189" s="5" t="s">
        <v>4</v>
      </c>
      <c r="D189" s="95" t="s">
        <v>73</v>
      </c>
      <c r="E189" s="96"/>
      <c r="F189" s="22"/>
      <c r="G189" s="22">
        <v>220</v>
      </c>
      <c r="I189" s="9" t="s">
        <v>23</v>
      </c>
      <c r="J189" s="11"/>
      <c r="K189" s="22">
        <v>220</v>
      </c>
      <c r="L189" s="21"/>
      <c r="M189" s="29"/>
      <c r="N189" s="27">
        <f t="shared" si="16"/>
        <v>220</v>
      </c>
      <c r="O189" s="28"/>
      <c r="P189" s="69">
        <f t="shared" si="29"/>
        <v>20</v>
      </c>
      <c r="Q189" s="70">
        <f t="shared" si="30"/>
        <v>0</v>
      </c>
      <c r="R189" s="27">
        <f t="shared" si="31"/>
        <v>20</v>
      </c>
    </row>
    <row r="190" spans="1:18" x14ac:dyDescent="0.4">
      <c r="A190" s="3" t="s">
        <v>54</v>
      </c>
      <c r="B190" s="4">
        <v>45419</v>
      </c>
      <c r="C190" s="5" t="s">
        <v>4</v>
      </c>
      <c r="D190" s="95" t="s">
        <v>79</v>
      </c>
      <c r="E190" s="96"/>
      <c r="F190" s="22"/>
      <c r="G190" s="22">
        <v>5810</v>
      </c>
      <c r="I190" s="9" t="s">
        <v>23</v>
      </c>
      <c r="J190" s="11"/>
      <c r="K190" s="22">
        <v>5810</v>
      </c>
      <c r="L190" s="21"/>
      <c r="M190" s="26"/>
      <c r="N190" s="27">
        <f t="shared" si="16"/>
        <v>5810</v>
      </c>
      <c r="O190" s="28"/>
      <c r="P190" s="69">
        <f t="shared" si="29"/>
        <v>528</v>
      </c>
      <c r="Q190" s="70">
        <f t="shared" si="30"/>
        <v>0</v>
      </c>
      <c r="R190" s="27">
        <f t="shared" si="31"/>
        <v>528</v>
      </c>
    </row>
    <row r="191" spans="1:18" x14ac:dyDescent="0.4">
      <c r="A191" s="3" t="s">
        <v>54</v>
      </c>
      <c r="B191" s="4">
        <v>45419</v>
      </c>
      <c r="C191" s="5" t="s">
        <v>4</v>
      </c>
      <c r="D191" s="95" t="s">
        <v>80</v>
      </c>
      <c r="E191" s="96"/>
      <c r="F191" s="22"/>
      <c r="G191" s="22">
        <v>2770</v>
      </c>
      <c r="I191" s="9" t="s">
        <v>23</v>
      </c>
      <c r="J191" s="11"/>
      <c r="K191" s="22">
        <v>2770</v>
      </c>
      <c r="L191" s="21"/>
      <c r="M191" s="26"/>
      <c r="N191" s="27">
        <f t="shared" si="16"/>
        <v>2770</v>
      </c>
      <c r="O191" s="28"/>
      <c r="P191" s="69">
        <f t="shared" si="29"/>
        <v>251</v>
      </c>
      <c r="Q191" s="70">
        <f t="shared" si="30"/>
        <v>0</v>
      </c>
      <c r="R191" s="27">
        <f t="shared" si="31"/>
        <v>251</v>
      </c>
    </row>
    <row r="192" spans="1:18" x14ac:dyDescent="0.4">
      <c r="A192" s="3" t="s">
        <v>54</v>
      </c>
      <c r="B192" s="4">
        <v>45436</v>
      </c>
      <c r="C192" s="5" t="s">
        <v>4</v>
      </c>
      <c r="D192" s="95" t="s">
        <v>81</v>
      </c>
      <c r="E192" s="96"/>
      <c r="F192" s="22"/>
      <c r="G192" s="22">
        <v>3130</v>
      </c>
      <c r="I192" s="9" t="s">
        <v>23</v>
      </c>
      <c r="J192" s="11"/>
      <c r="K192" s="22">
        <v>3130</v>
      </c>
      <c r="L192" s="21"/>
      <c r="M192" s="26"/>
      <c r="N192" s="27">
        <f t="shared" si="16"/>
        <v>3130</v>
      </c>
      <c r="O192" s="28"/>
      <c r="P192" s="69">
        <f t="shared" si="29"/>
        <v>284</v>
      </c>
      <c r="Q192" s="70">
        <f t="shared" si="30"/>
        <v>0</v>
      </c>
      <c r="R192" s="27">
        <f t="shared" si="31"/>
        <v>284</v>
      </c>
    </row>
    <row r="193" spans="1:18" x14ac:dyDescent="0.4">
      <c r="A193" s="3" t="s">
        <v>54</v>
      </c>
      <c r="B193" s="4">
        <v>45436</v>
      </c>
      <c r="C193" s="5" t="s">
        <v>4</v>
      </c>
      <c r="D193" s="95" t="s">
        <v>82</v>
      </c>
      <c r="E193" s="96"/>
      <c r="F193" s="22"/>
      <c r="G193" s="22">
        <v>1080</v>
      </c>
      <c r="I193" s="9" t="s">
        <v>23</v>
      </c>
      <c r="J193" s="11"/>
      <c r="K193" s="22">
        <v>1080</v>
      </c>
      <c r="L193" s="21"/>
      <c r="M193" s="26"/>
      <c r="N193" s="27">
        <f t="shared" si="16"/>
        <v>1080</v>
      </c>
      <c r="O193" s="28"/>
      <c r="P193" s="69">
        <f t="shared" si="29"/>
        <v>98</v>
      </c>
      <c r="Q193" s="70">
        <f t="shared" si="30"/>
        <v>0</v>
      </c>
      <c r="R193" s="27">
        <f t="shared" si="31"/>
        <v>98</v>
      </c>
    </row>
    <row r="194" spans="1:18" x14ac:dyDescent="0.4">
      <c r="A194" s="3" t="s">
        <v>54</v>
      </c>
      <c r="B194" s="4">
        <v>45436</v>
      </c>
      <c r="C194" s="5" t="s">
        <v>4</v>
      </c>
      <c r="D194" s="95" t="s">
        <v>83</v>
      </c>
      <c r="E194" s="96"/>
      <c r="F194" s="22"/>
      <c r="G194" s="22">
        <v>7960</v>
      </c>
      <c r="I194" s="9" t="s">
        <v>23</v>
      </c>
      <c r="J194" s="11"/>
      <c r="K194" s="22">
        <v>7960</v>
      </c>
      <c r="L194" s="21"/>
      <c r="M194" s="26"/>
      <c r="N194" s="27">
        <f t="shared" si="16"/>
        <v>7960</v>
      </c>
      <c r="O194" s="28"/>
      <c r="P194" s="69">
        <f t="shared" si="29"/>
        <v>723</v>
      </c>
      <c r="Q194" s="70">
        <f t="shared" si="30"/>
        <v>0</v>
      </c>
      <c r="R194" s="27">
        <f t="shared" si="31"/>
        <v>723</v>
      </c>
    </row>
    <row r="195" spans="1:18" x14ac:dyDescent="0.4">
      <c r="A195" s="3" t="s">
        <v>54</v>
      </c>
      <c r="B195" s="4">
        <v>45436</v>
      </c>
      <c r="C195" s="5" t="s">
        <v>4</v>
      </c>
      <c r="D195" s="95" t="s">
        <v>73</v>
      </c>
      <c r="E195" s="96"/>
      <c r="F195" s="22"/>
      <c r="G195" s="22">
        <v>310</v>
      </c>
      <c r="I195" s="9" t="s">
        <v>23</v>
      </c>
      <c r="J195" s="11"/>
      <c r="K195" s="22">
        <v>310</v>
      </c>
      <c r="L195" s="21"/>
      <c r="M195" s="26"/>
      <c r="N195" s="27">
        <f t="shared" si="16"/>
        <v>310</v>
      </c>
      <c r="O195" s="28"/>
      <c r="P195" s="69">
        <f t="shared" si="29"/>
        <v>28</v>
      </c>
      <c r="Q195" s="70">
        <f t="shared" si="30"/>
        <v>0</v>
      </c>
      <c r="R195" s="27">
        <f t="shared" si="31"/>
        <v>28</v>
      </c>
    </row>
    <row r="196" spans="1:18" x14ac:dyDescent="0.4">
      <c r="A196" s="3"/>
      <c r="B196" s="4"/>
      <c r="C196" s="5"/>
      <c r="D196" s="95" t="s">
        <v>88</v>
      </c>
      <c r="E196" s="96"/>
      <c r="F196" s="22"/>
      <c r="G196" s="22"/>
      <c r="I196" s="9"/>
      <c r="J196" s="11"/>
      <c r="K196" s="25"/>
      <c r="L196" s="21"/>
      <c r="M196" s="26"/>
      <c r="N196" s="27" t="str">
        <f t="shared" si="16"/>
        <v/>
      </c>
    </row>
    <row r="197" spans="1:18" x14ac:dyDescent="0.4">
      <c r="A197" s="3"/>
      <c r="B197" s="4">
        <v>45437</v>
      </c>
      <c r="C197" s="5" t="s">
        <v>4</v>
      </c>
      <c r="D197" s="95" t="s">
        <v>84</v>
      </c>
      <c r="E197" s="96"/>
      <c r="F197" s="22"/>
      <c r="G197" s="22">
        <v>1530</v>
      </c>
      <c r="I197" s="9" t="s">
        <v>23</v>
      </c>
      <c r="J197" s="11"/>
      <c r="K197" s="25">
        <v>1530</v>
      </c>
      <c r="L197" s="21"/>
      <c r="M197" s="26"/>
      <c r="N197" s="27">
        <f t="shared" si="16"/>
        <v>1530</v>
      </c>
      <c r="O197" s="28"/>
      <c r="P197" s="69">
        <f t="shared" ref="P197:P200" si="32">ROUNDDOWN($K197/110*10,0)</f>
        <v>139</v>
      </c>
      <c r="Q197" s="70">
        <f t="shared" ref="Q197:Q200" si="33">ROUNDDOWN($L197/108*8,0)</f>
        <v>0</v>
      </c>
      <c r="R197" s="27">
        <f t="shared" ref="R197:R200" si="34">P197+Q197</f>
        <v>139</v>
      </c>
    </row>
    <row r="198" spans="1:18" x14ac:dyDescent="0.4">
      <c r="A198" s="3"/>
      <c r="B198" s="4">
        <v>45437</v>
      </c>
      <c r="C198" s="5" t="s">
        <v>57</v>
      </c>
      <c r="D198" s="95" t="s">
        <v>85</v>
      </c>
      <c r="E198" s="96"/>
      <c r="F198" s="22"/>
      <c r="G198" s="22">
        <v>40806</v>
      </c>
      <c r="I198" s="9" t="s">
        <v>23</v>
      </c>
      <c r="J198" s="11"/>
      <c r="K198" s="25">
        <v>38635</v>
      </c>
      <c r="L198" s="21">
        <v>171</v>
      </c>
      <c r="M198" s="26">
        <v>2000</v>
      </c>
      <c r="N198" s="27">
        <f t="shared" si="16"/>
        <v>40806</v>
      </c>
      <c r="O198" s="28"/>
      <c r="P198" s="69">
        <f t="shared" si="32"/>
        <v>3512</v>
      </c>
      <c r="Q198" s="70">
        <f t="shared" si="33"/>
        <v>12</v>
      </c>
      <c r="R198" s="27">
        <f t="shared" si="34"/>
        <v>3524</v>
      </c>
    </row>
    <row r="199" spans="1:18" x14ac:dyDescent="0.4">
      <c r="A199" s="3"/>
      <c r="B199" s="4">
        <v>45437</v>
      </c>
      <c r="C199" s="5" t="s">
        <v>4</v>
      </c>
      <c r="D199" s="95" t="s">
        <v>86</v>
      </c>
      <c r="E199" s="96"/>
      <c r="F199" s="22"/>
      <c r="G199" s="22">
        <v>1740</v>
      </c>
      <c r="I199" s="9" t="s">
        <v>23</v>
      </c>
      <c r="J199" s="11"/>
      <c r="K199" s="25">
        <v>1740</v>
      </c>
      <c r="L199" s="21"/>
      <c r="M199" s="26"/>
      <c r="N199" s="27">
        <f t="shared" si="16"/>
        <v>1740</v>
      </c>
      <c r="O199" s="28"/>
      <c r="P199" s="69">
        <f t="shared" si="32"/>
        <v>158</v>
      </c>
      <c r="Q199" s="70">
        <f t="shared" si="33"/>
        <v>0</v>
      </c>
      <c r="R199" s="27">
        <f t="shared" si="34"/>
        <v>158</v>
      </c>
    </row>
    <row r="200" spans="1:18" x14ac:dyDescent="0.4">
      <c r="A200" s="3"/>
      <c r="B200" s="4">
        <v>45437</v>
      </c>
      <c r="C200" s="5" t="s">
        <v>4</v>
      </c>
      <c r="D200" s="95" t="s">
        <v>87</v>
      </c>
      <c r="E200" s="96"/>
      <c r="F200" s="22"/>
      <c r="G200" s="22">
        <v>400</v>
      </c>
      <c r="I200" s="9" t="s">
        <v>23</v>
      </c>
      <c r="J200" s="11"/>
      <c r="K200" s="25">
        <v>400</v>
      </c>
      <c r="L200" s="21"/>
      <c r="M200" s="26"/>
      <c r="N200" s="27">
        <f t="shared" si="16"/>
        <v>400</v>
      </c>
      <c r="O200" s="28"/>
      <c r="P200" s="69">
        <f t="shared" si="32"/>
        <v>36</v>
      </c>
      <c r="Q200" s="70">
        <f t="shared" si="33"/>
        <v>0</v>
      </c>
      <c r="R200" s="27">
        <f t="shared" si="34"/>
        <v>36</v>
      </c>
    </row>
    <row r="201" spans="1:18" x14ac:dyDescent="0.4">
      <c r="A201" s="3"/>
      <c r="B201" s="4"/>
      <c r="C201" s="5"/>
      <c r="D201" s="95" t="s">
        <v>93</v>
      </c>
      <c r="E201" s="96"/>
      <c r="F201" s="22"/>
      <c r="G201" s="22"/>
      <c r="I201" s="9"/>
      <c r="J201" s="11"/>
      <c r="K201" s="25"/>
      <c r="L201" s="21"/>
      <c r="M201" s="26"/>
      <c r="N201" s="27" t="str">
        <f t="shared" si="16"/>
        <v/>
      </c>
    </row>
    <row r="202" spans="1:18" x14ac:dyDescent="0.4">
      <c r="A202" s="54" t="s">
        <v>89</v>
      </c>
      <c r="B202" s="55">
        <v>45398</v>
      </c>
      <c r="C202" s="56" t="s">
        <v>42</v>
      </c>
      <c r="D202" s="93"/>
      <c r="E202" s="97"/>
      <c r="F202" s="57"/>
      <c r="G202" s="57">
        <v>8550</v>
      </c>
      <c r="H202" s="58"/>
      <c r="I202" s="73" t="s">
        <v>23</v>
      </c>
      <c r="J202" s="74"/>
      <c r="K202" s="75">
        <v>8550</v>
      </c>
      <c r="L202" s="67"/>
      <c r="M202" s="76"/>
      <c r="N202" s="64">
        <f t="shared" si="16"/>
        <v>8550</v>
      </c>
      <c r="O202" s="77"/>
      <c r="P202" s="78">
        <f t="shared" ref="P202:P236" si="35">ROUNDDOWN($K202/110*10,0)</f>
        <v>777</v>
      </c>
      <c r="Q202" s="79">
        <f t="shared" ref="Q202:Q236" si="36">ROUNDDOWN($L202/108*8,0)</f>
        <v>0</v>
      </c>
      <c r="R202" s="64">
        <f t="shared" ref="R202:R232" si="37">P202+Q202</f>
        <v>777</v>
      </c>
    </row>
    <row r="203" spans="1:18" x14ac:dyDescent="0.4">
      <c r="A203" s="54"/>
      <c r="B203" s="55"/>
      <c r="C203" s="56" t="s">
        <v>4</v>
      </c>
      <c r="D203" s="93" t="s">
        <v>27</v>
      </c>
      <c r="E203" s="94"/>
      <c r="F203" s="57"/>
      <c r="G203" s="57">
        <v>7292</v>
      </c>
      <c r="H203" s="65"/>
      <c r="I203" s="73" t="s">
        <v>23</v>
      </c>
      <c r="J203" s="74"/>
      <c r="K203" s="75">
        <v>7292</v>
      </c>
      <c r="L203" s="67"/>
      <c r="M203" s="76"/>
      <c r="N203" s="64">
        <f>IF(K203+L203+M203=0,"",K203+L203+M203)</f>
        <v>7292</v>
      </c>
      <c r="O203" s="77"/>
      <c r="P203" s="78">
        <f>ROUNDDOWN($K203/110*10,0)</f>
        <v>662</v>
      </c>
      <c r="Q203" s="79">
        <f>ROUNDDOWN($L203/108*8,0)</f>
        <v>0</v>
      </c>
      <c r="R203" s="64">
        <f>P203+Q203</f>
        <v>662</v>
      </c>
    </row>
    <row r="204" spans="1:18" x14ac:dyDescent="0.4">
      <c r="A204" s="54"/>
      <c r="B204" s="55">
        <v>45399</v>
      </c>
      <c r="C204" s="56" t="s">
        <v>4</v>
      </c>
      <c r="D204" s="93" t="s">
        <v>25</v>
      </c>
      <c r="E204" s="94"/>
      <c r="F204" s="66"/>
      <c r="G204" s="67">
        <v>3125</v>
      </c>
      <c r="H204" s="65"/>
      <c r="I204" s="73" t="s">
        <v>23</v>
      </c>
      <c r="J204" s="74"/>
      <c r="K204" s="75">
        <v>1974</v>
      </c>
      <c r="L204" s="67">
        <v>1151</v>
      </c>
      <c r="M204" s="76"/>
      <c r="N204" s="64">
        <f>IF(K204+L204+M204=0,"",K204+L204+M204)</f>
        <v>3125</v>
      </c>
      <c r="O204" s="77"/>
      <c r="P204" s="78">
        <f>ROUNDDOWN($K204/110*10,0)</f>
        <v>179</v>
      </c>
      <c r="Q204" s="79">
        <f>ROUNDDOWN($L204/108*8,0)</f>
        <v>85</v>
      </c>
      <c r="R204" s="64">
        <f>P204+Q204</f>
        <v>264</v>
      </c>
    </row>
    <row r="205" spans="1:18" x14ac:dyDescent="0.4">
      <c r="A205" s="54"/>
      <c r="B205" s="55"/>
      <c r="C205" s="56" t="s">
        <v>4</v>
      </c>
      <c r="D205" s="93" t="s">
        <v>25</v>
      </c>
      <c r="E205" s="94"/>
      <c r="F205" s="57"/>
      <c r="G205" s="57">
        <v>780</v>
      </c>
      <c r="H205" s="65"/>
      <c r="I205" s="73" t="s">
        <v>23</v>
      </c>
      <c r="J205" s="74"/>
      <c r="K205" s="75">
        <v>780</v>
      </c>
      <c r="L205" s="67"/>
      <c r="M205" s="76"/>
      <c r="N205" s="64">
        <f t="shared" si="16"/>
        <v>780</v>
      </c>
      <c r="O205" s="77"/>
      <c r="P205" s="78">
        <f t="shared" si="35"/>
        <v>70</v>
      </c>
      <c r="Q205" s="79">
        <f t="shared" si="36"/>
        <v>0</v>
      </c>
      <c r="R205" s="64">
        <f t="shared" si="37"/>
        <v>70</v>
      </c>
    </row>
    <row r="206" spans="1:18" x14ac:dyDescent="0.4">
      <c r="A206" s="54"/>
      <c r="B206" s="55"/>
      <c r="C206" s="56" t="s">
        <v>4</v>
      </c>
      <c r="D206" s="93" t="s">
        <v>25</v>
      </c>
      <c r="E206" s="94"/>
      <c r="F206" s="57"/>
      <c r="G206" s="57">
        <v>2052</v>
      </c>
      <c r="H206" s="65"/>
      <c r="I206" s="73" t="s">
        <v>23</v>
      </c>
      <c r="J206" s="74"/>
      <c r="K206" s="75">
        <v>1257</v>
      </c>
      <c r="L206" s="67">
        <v>795</v>
      </c>
      <c r="M206" s="76"/>
      <c r="N206" s="64">
        <f>IF(K206+L206+M206=0,"",K206+L206+M206)</f>
        <v>2052</v>
      </c>
      <c r="O206" s="77"/>
      <c r="P206" s="78">
        <f>ROUNDDOWN($K206/110*10,0)</f>
        <v>114</v>
      </c>
      <c r="Q206" s="79">
        <f>ROUNDDOWN($L206/108*8,0)</f>
        <v>58</v>
      </c>
      <c r="R206" s="64">
        <f>P206+Q206</f>
        <v>172</v>
      </c>
    </row>
    <row r="207" spans="1:18" x14ac:dyDescent="0.4">
      <c r="A207" s="54"/>
      <c r="B207" s="55">
        <v>45400</v>
      </c>
      <c r="C207" s="56" t="s">
        <v>4</v>
      </c>
      <c r="D207" s="93" t="s">
        <v>25</v>
      </c>
      <c r="E207" s="94"/>
      <c r="F207" s="57"/>
      <c r="G207" s="57">
        <v>1818</v>
      </c>
      <c r="H207" s="65"/>
      <c r="I207" s="73" t="s">
        <v>23</v>
      </c>
      <c r="J207" s="74"/>
      <c r="K207" s="75">
        <v>583</v>
      </c>
      <c r="L207" s="67">
        <v>1235</v>
      </c>
      <c r="M207" s="76"/>
      <c r="N207" s="64">
        <f t="shared" si="16"/>
        <v>1818</v>
      </c>
      <c r="O207" s="77"/>
      <c r="P207" s="78">
        <f t="shared" si="35"/>
        <v>53</v>
      </c>
      <c r="Q207" s="79">
        <f t="shared" si="36"/>
        <v>91</v>
      </c>
      <c r="R207" s="64">
        <f t="shared" si="37"/>
        <v>144</v>
      </c>
    </row>
    <row r="208" spans="1:18" x14ac:dyDescent="0.4">
      <c r="A208" s="54"/>
      <c r="B208" s="55"/>
      <c r="C208" s="56" t="s">
        <v>4</v>
      </c>
      <c r="D208" s="93" t="s">
        <v>25</v>
      </c>
      <c r="E208" s="94"/>
      <c r="F208" s="57"/>
      <c r="G208" s="57">
        <v>2155</v>
      </c>
      <c r="H208" s="65"/>
      <c r="I208" s="73" t="s">
        <v>23</v>
      </c>
      <c r="J208" s="74"/>
      <c r="K208" s="75"/>
      <c r="L208" s="67">
        <v>2155</v>
      </c>
      <c r="M208" s="76"/>
      <c r="N208" s="64">
        <f t="shared" si="16"/>
        <v>2155</v>
      </c>
      <c r="O208" s="77"/>
      <c r="P208" s="78">
        <f t="shared" si="35"/>
        <v>0</v>
      </c>
      <c r="Q208" s="79">
        <f t="shared" si="36"/>
        <v>159</v>
      </c>
      <c r="R208" s="64">
        <f t="shared" si="37"/>
        <v>159</v>
      </c>
    </row>
    <row r="209" spans="1:18" x14ac:dyDescent="0.4">
      <c r="A209" s="54"/>
      <c r="B209" s="55">
        <v>45401</v>
      </c>
      <c r="C209" s="56" t="s">
        <v>4</v>
      </c>
      <c r="D209" s="93" t="s">
        <v>25</v>
      </c>
      <c r="E209" s="94"/>
      <c r="F209" s="57"/>
      <c r="G209" s="57">
        <v>1832</v>
      </c>
      <c r="H209" s="65"/>
      <c r="I209" s="73" t="s">
        <v>23</v>
      </c>
      <c r="J209" s="74"/>
      <c r="K209" s="75">
        <v>583</v>
      </c>
      <c r="L209" s="67">
        <v>1249</v>
      </c>
      <c r="M209" s="76"/>
      <c r="N209" s="64">
        <f t="shared" si="16"/>
        <v>1832</v>
      </c>
      <c r="O209" s="77"/>
      <c r="P209" s="78">
        <f t="shared" si="35"/>
        <v>53</v>
      </c>
      <c r="Q209" s="79">
        <f t="shared" si="36"/>
        <v>92</v>
      </c>
      <c r="R209" s="64">
        <f t="shared" si="37"/>
        <v>145</v>
      </c>
    </row>
    <row r="210" spans="1:18" x14ac:dyDescent="0.4">
      <c r="A210" s="54"/>
      <c r="B210" s="55"/>
      <c r="C210" s="56" t="s">
        <v>57</v>
      </c>
      <c r="D210" s="93" t="s">
        <v>25</v>
      </c>
      <c r="E210" s="94"/>
      <c r="F210" s="57"/>
      <c r="G210" s="57">
        <v>3049</v>
      </c>
      <c r="H210" s="65"/>
      <c r="I210" s="73" t="s">
        <v>29</v>
      </c>
      <c r="J210" s="74"/>
      <c r="K210" s="75">
        <v>3049</v>
      </c>
      <c r="L210" s="67"/>
      <c r="M210" s="76"/>
      <c r="N210" s="64">
        <f>IF(K210+L210+M210=0,"",K210+L210+M210)</f>
        <v>3049</v>
      </c>
      <c r="O210" s="77"/>
      <c r="P210" s="78">
        <f>ROUNDDOWN($K210/110*10,0)</f>
        <v>277</v>
      </c>
      <c r="Q210" s="79">
        <f>ROUNDDOWN($L210/108*8,0)</f>
        <v>0</v>
      </c>
      <c r="R210" s="64">
        <f>P210+Q210</f>
        <v>277</v>
      </c>
    </row>
    <row r="211" spans="1:18" x14ac:dyDescent="0.4">
      <c r="A211" s="54"/>
      <c r="B211" s="55"/>
      <c r="C211" s="56" t="s">
        <v>57</v>
      </c>
      <c r="D211" s="93" t="s">
        <v>25</v>
      </c>
      <c r="E211" s="94"/>
      <c r="F211" s="57"/>
      <c r="G211" s="57">
        <v>1259</v>
      </c>
      <c r="H211" s="65"/>
      <c r="I211" s="73" t="s">
        <v>23</v>
      </c>
      <c r="J211" s="74"/>
      <c r="K211" s="75">
        <v>583</v>
      </c>
      <c r="L211" s="67">
        <v>676</v>
      </c>
      <c r="M211" s="76"/>
      <c r="N211" s="64">
        <f>IF(K211+L211+M211=0,"",K211+L211+M211)</f>
        <v>1259</v>
      </c>
      <c r="O211" s="77"/>
      <c r="P211" s="78">
        <f>ROUNDDOWN($K211/110*10,0)</f>
        <v>53</v>
      </c>
      <c r="Q211" s="79">
        <f>ROUNDDOWN($L211/108*8,0)</f>
        <v>50</v>
      </c>
      <c r="R211" s="64">
        <f>P211+Q211</f>
        <v>103</v>
      </c>
    </row>
    <row r="212" spans="1:18" x14ac:dyDescent="0.4">
      <c r="A212" s="54"/>
      <c r="B212" s="55"/>
      <c r="C212" s="56" t="s">
        <v>57</v>
      </c>
      <c r="D212" s="93" t="s">
        <v>25</v>
      </c>
      <c r="E212" s="94"/>
      <c r="F212" s="57"/>
      <c r="G212" s="57">
        <v>8300</v>
      </c>
      <c r="H212" s="65"/>
      <c r="I212" s="73" t="s">
        <v>29</v>
      </c>
      <c r="J212" s="74"/>
      <c r="K212" s="75">
        <v>8300</v>
      </c>
      <c r="L212" s="67"/>
      <c r="M212" s="76"/>
      <c r="N212" s="64">
        <f t="shared" si="16"/>
        <v>8300</v>
      </c>
      <c r="O212" s="77"/>
      <c r="P212" s="78">
        <f t="shared" si="35"/>
        <v>754</v>
      </c>
      <c r="Q212" s="79">
        <f t="shared" si="36"/>
        <v>0</v>
      </c>
      <c r="R212" s="64">
        <f t="shared" si="37"/>
        <v>754</v>
      </c>
    </row>
    <row r="213" spans="1:18" x14ac:dyDescent="0.4">
      <c r="A213" s="54"/>
      <c r="B213" s="55"/>
      <c r="C213" s="56" t="s">
        <v>4</v>
      </c>
      <c r="D213" s="93" t="s">
        <v>90</v>
      </c>
      <c r="E213" s="94"/>
      <c r="F213" s="57"/>
      <c r="G213" s="57">
        <v>740</v>
      </c>
      <c r="H213" s="65"/>
      <c r="I213" s="73" t="s">
        <v>29</v>
      </c>
      <c r="J213" s="74"/>
      <c r="K213" s="75">
        <v>740</v>
      </c>
      <c r="L213" s="67"/>
      <c r="M213" s="80"/>
      <c r="N213" s="64">
        <f t="shared" si="16"/>
        <v>740</v>
      </c>
      <c r="O213" s="77"/>
      <c r="P213" s="78">
        <f t="shared" si="35"/>
        <v>67</v>
      </c>
      <c r="Q213" s="79">
        <f t="shared" si="36"/>
        <v>0</v>
      </c>
      <c r="R213" s="64">
        <f t="shared" si="37"/>
        <v>67</v>
      </c>
    </row>
    <row r="214" spans="1:18" x14ac:dyDescent="0.4">
      <c r="A214" s="54"/>
      <c r="B214" s="55">
        <v>45402</v>
      </c>
      <c r="C214" s="56" t="s">
        <v>4</v>
      </c>
      <c r="D214" s="93" t="s">
        <v>25</v>
      </c>
      <c r="E214" s="94"/>
      <c r="F214" s="57"/>
      <c r="G214" s="57">
        <v>1253</v>
      </c>
      <c r="H214" s="65"/>
      <c r="I214" s="73" t="s">
        <v>23</v>
      </c>
      <c r="J214" s="74"/>
      <c r="K214" s="75"/>
      <c r="L214" s="67">
        <v>1253</v>
      </c>
      <c r="M214" s="76"/>
      <c r="N214" s="64">
        <f t="shared" si="16"/>
        <v>1253</v>
      </c>
      <c r="O214" s="77"/>
      <c r="P214" s="78">
        <f t="shared" si="35"/>
        <v>0</v>
      </c>
      <c r="Q214" s="79">
        <f t="shared" si="36"/>
        <v>92</v>
      </c>
      <c r="R214" s="64">
        <f t="shared" si="37"/>
        <v>92</v>
      </c>
    </row>
    <row r="215" spans="1:18" x14ac:dyDescent="0.4">
      <c r="A215" s="54"/>
      <c r="B215" s="55"/>
      <c r="C215" s="56" t="s">
        <v>4</v>
      </c>
      <c r="D215" s="93" t="s">
        <v>25</v>
      </c>
      <c r="E215" s="94"/>
      <c r="F215" s="57"/>
      <c r="G215" s="57">
        <v>1850</v>
      </c>
      <c r="H215" s="65"/>
      <c r="I215" s="73" t="s">
        <v>29</v>
      </c>
      <c r="J215" s="74"/>
      <c r="K215" s="75">
        <v>1850</v>
      </c>
      <c r="L215" s="67"/>
      <c r="M215" s="76"/>
      <c r="N215" s="64">
        <f t="shared" si="16"/>
        <v>1850</v>
      </c>
      <c r="O215" s="77"/>
      <c r="P215" s="78">
        <f t="shared" si="35"/>
        <v>168</v>
      </c>
      <c r="Q215" s="79">
        <f t="shared" si="36"/>
        <v>0</v>
      </c>
      <c r="R215" s="64">
        <f t="shared" si="37"/>
        <v>168</v>
      </c>
    </row>
    <row r="216" spans="1:18" x14ac:dyDescent="0.4">
      <c r="A216" s="54"/>
      <c r="B216" s="55"/>
      <c r="C216" s="56" t="s">
        <v>4</v>
      </c>
      <c r="D216" s="93" t="s">
        <v>25</v>
      </c>
      <c r="E216" s="94"/>
      <c r="F216" s="57"/>
      <c r="G216" s="57">
        <v>1262</v>
      </c>
      <c r="H216" s="65"/>
      <c r="I216" s="73" t="s">
        <v>23</v>
      </c>
      <c r="J216" s="74"/>
      <c r="K216" s="75">
        <v>768</v>
      </c>
      <c r="L216" s="67">
        <v>494</v>
      </c>
      <c r="M216" s="76"/>
      <c r="N216" s="64">
        <f t="shared" si="16"/>
        <v>1262</v>
      </c>
      <c r="O216" s="77"/>
      <c r="P216" s="78">
        <f t="shared" si="35"/>
        <v>69</v>
      </c>
      <c r="Q216" s="79">
        <f t="shared" si="36"/>
        <v>36</v>
      </c>
      <c r="R216" s="64">
        <f t="shared" si="37"/>
        <v>105</v>
      </c>
    </row>
    <row r="217" spans="1:18" x14ac:dyDescent="0.4">
      <c r="A217" s="54"/>
      <c r="B217" s="55">
        <v>45403</v>
      </c>
      <c r="C217" s="56" t="s">
        <v>4</v>
      </c>
      <c r="D217" s="93" t="s">
        <v>25</v>
      </c>
      <c r="E217" s="94"/>
      <c r="F217" s="57"/>
      <c r="G217" s="57">
        <v>2662</v>
      </c>
      <c r="H217" s="65"/>
      <c r="I217" s="73" t="s">
        <v>23</v>
      </c>
      <c r="J217" s="74"/>
      <c r="K217" s="75">
        <v>2662</v>
      </c>
      <c r="L217" s="67"/>
      <c r="M217" s="76"/>
      <c r="N217" s="64">
        <f t="shared" si="16"/>
        <v>2662</v>
      </c>
      <c r="O217" s="77"/>
      <c r="P217" s="78">
        <f t="shared" si="35"/>
        <v>242</v>
      </c>
      <c r="Q217" s="79">
        <f t="shared" si="36"/>
        <v>0</v>
      </c>
      <c r="R217" s="64">
        <f t="shared" si="37"/>
        <v>242</v>
      </c>
    </row>
    <row r="218" spans="1:18" x14ac:dyDescent="0.4">
      <c r="A218" s="54"/>
      <c r="B218" s="55"/>
      <c r="C218" s="56" t="s">
        <v>4</v>
      </c>
      <c r="D218" s="93" t="s">
        <v>25</v>
      </c>
      <c r="E218" s="94"/>
      <c r="F218" s="57"/>
      <c r="G218" s="57">
        <v>1927</v>
      </c>
      <c r="H218" s="65"/>
      <c r="I218" s="73" t="s">
        <v>23</v>
      </c>
      <c r="J218" s="74"/>
      <c r="K218" s="75">
        <v>948</v>
      </c>
      <c r="L218" s="67">
        <v>979</v>
      </c>
      <c r="M218" s="76"/>
      <c r="N218" s="64">
        <f t="shared" si="16"/>
        <v>1927</v>
      </c>
      <c r="O218" s="77"/>
      <c r="P218" s="78">
        <f t="shared" si="35"/>
        <v>86</v>
      </c>
      <c r="Q218" s="79">
        <f t="shared" si="36"/>
        <v>72</v>
      </c>
      <c r="R218" s="64">
        <f t="shared" si="37"/>
        <v>158</v>
      </c>
    </row>
    <row r="219" spans="1:18" x14ac:dyDescent="0.4">
      <c r="A219" s="54"/>
      <c r="B219" s="55"/>
      <c r="C219" s="56" t="s">
        <v>4</v>
      </c>
      <c r="D219" s="93" t="s">
        <v>25</v>
      </c>
      <c r="E219" s="94"/>
      <c r="F219" s="57"/>
      <c r="G219" s="57">
        <v>730</v>
      </c>
      <c r="H219" s="65"/>
      <c r="I219" s="73" t="s">
        <v>23</v>
      </c>
      <c r="J219" s="74"/>
      <c r="K219" s="75"/>
      <c r="L219" s="67">
        <v>730</v>
      </c>
      <c r="M219" s="76"/>
      <c r="N219" s="64">
        <f t="shared" si="16"/>
        <v>730</v>
      </c>
      <c r="O219" s="77"/>
      <c r="P219" s="78">
        <f t="shared" si="35"/>
        <v>0</v>
      </c>
      <c r="Q219" s="79">
        <f t="shared" si="36"/>
        <v>54</v>
      </c>
      <c r="R219" s="64">
        <f t="shared" si="37"/>
        <v>54</v>
      </c>
    </row>
    <row r="220" spans="1:18" x14ac:dyDescent="0.4">
      <c r="A220" s="54"/>
      <c r="B220" s="55">
        <v>45404</v>
      </c>
      <c r="C220" s="56" t="s">
        <v>4</v>
      </c>
      <c r="D220" s="93" t="s">
        <v>25</v>
      </c>
      <c r="E220" s="94"/>
      <c r="F220" s="57"/>
      <c r="G220" s="57">
        <v>1737</v>
      </c>
      <c r="H220" s="65"/>
      <c r="I220" s="73" t="s">
        <v>23</v>
      </c>
      <c r="J220" s="74"/>
      <c r="K220" s="75">
        <v>580</v>
      </c>
      <c r="L220" s="67">
        <v>1157</v>
      </c>
      <c r="M220" s="76"/>
      <c r="N220" s="64">
        <f t="shared" si="16"/>
        <v>1737</v>
      </c>
      <c r="O220" s="77"/>
      <c r="P220" s="78">
        <f t="shared" si="35"/>
        <v>52</v>
      </c>
      <c r="Q220" s="79">
        <f t="shared" si="36"/>
        <v>85</v>
      </c>
      <c r="R220" s="64">
        <f t="shared" si="37"/>
        <v>137</v>
      </c>
    </row>
    <row r="221" spans="1:18" x14ac:dyDescent="0.4">
      <c r="A221" s="54"/>
      <c r="B221" s="55"/>
      <c r="C221" s="56" t="s">
        <v>4</v>
      </c>
      <c r="D221" s="93" t="s">
        <v>25</v>
      </c>
      <c r="E221" s="94"/>
      <c r="F221" s="57"/>
      <c r="G221" s="57">
        <v>2240</v>
      </c>
      <c r="H221" s="65"/>
      <c r="I221" s="73" t="s">
        <v>23</v>
      </c>
      <c r="J221" s="74"/>
      <c r="K221" s="75">
        <v>2240</v>
      </c>
      <c r="L221" s="67"/>
      <c r="M221" s="76"/>
      <c r="N221" s="64">
        <f t="shared" si="16"/>
        <v>2240</v>
      </c>
      <c r="O221" s="77"/>
      <c r="P221" s="78">
        <f t="shared" si="35"/>
        <v>203</v>
      </c>
      <c r="Q221" s="79">
        <f t="shared" si="36"/>
        <v>0</v>
      </c>
      <c r="R221" s="64">
        <f t="shared" si="37"/>
        <v>203</v>
      </c>
    </row>
    <row r="222" spans="1:18" x14ac:dyDescent="0.4">
      <c r="A222" s="54"/>
      <c r="B222" s="55"/>
      <c r="C222" s="56" t="s">
        <v>4</v>
      </c>
      <c r="D222" s="93" t="s">
        <v>91</v>
      </c>
      <c r="E222" s="94"/>
      <c r="F222" s="57"/>
      <c r="G222" s="57">
        <v>79500</v>
      </c>
      <c r="H222" s="65"/>
      <c r="I222" s="73" t="s">
        <v>23</v>
      </c>
      <c r="J222" s="74"/>
      <c r="K222" s="75">
        <v>79500</v>
      </c>
      <c r="L222" s="67"/>
      <c r="M222" s="76"/>
      <c r="N222" s="64">
        <f>IF(K222+L222+M222=0,"",K222+L222+M222)</f>
        <v>79500</v>
      </c>
      <c r="O222" s="77"/>
      <c r="P222" s="78">
        <f>ROUNDDOWN($K222/110*10,0)</f>
        <v>7227</v>
      </c>
      <c r="Q222" s="79">
        <f>ROUNDDOWN($L222/108*8,0)</f>
        <v>0</v>
      </c>
      <c r="R222" s="64">
        <f>P222+Q222</f>
        <v>7227</v>
      </c>
    </row>
    <row r="223" spans="1:18" x14ac:dyDescent="0.4">
      <c r="A223" s="54"/>
      <c r="B223" s="55">
        <v>45405</v>
      </c>
      <c r="C223" s="56" t="s">
        <v>4</v>
      </c>
      <c r="D223" s="93" t="s">
        <v>25</v>
      </c>
      <c r="E223" s="94"/>
      <c r="F223" s="57"/>
      <c r="G223" s="57">
        <v>1883</v>
      </c>
      <c r="H223" s="65"/>
      <c r="I223" s="73" t="s">
        <v>23</v>
      </c>
      <c r="J223" s="74"/>
      <c r="K223" s="75">
        <v>583</v>
      </c>
      <c r="L223" s="67">
        <v>1300</v>
      </c>
      <c r="M223" s="76"/>
      <c r="N223" s="64">
        <f t="shared" si="16"/>
        <v>1883</v>
      </c>
      <c r="O223" s="77"/>
      <c r="P223" s="78">
        <f t="shared" si="35"/>
        <v>53</v>
      </c>
      <c r="Q223" s="79">
        <f t="shared" si="36"/>
        <v>96</v>
      </c>
      <c r="R223" s="64">
        <f t="shared" si="37"/>
        <v>149</v>
      </c>
    </row>
    <row r="224" spans="1:18" x14ac:dyDescent="0.4">
      <c r="A224" s="54"/>
      <c r="B224" s="55"/>
      <c r="C224" s="56" t="s">
        <v>4</v>
      </c>
      <c r="D224" s="93" t="s">
        <v>25</v>
      </c>
      <c r="E224" s="94"/>
      <c r="F224" s="57"/>
      <c r="G224" s="57">
        <v>765</v>
      </c>
      <c r="H224" s="65"/>
      <c r="I224" s="73" t="s">
        <v>23</v>
      </c>
      <c r="J224" s="74"/>
      <c r="K224" s="75"/>
      <c r="L224" s="67">
        <v>765</v>
      </c>
      <c r="M224" s="76"/>
      <c r="N224" s="64">
        <f t="shared" si="16"/>
        <v>765</v>
      </c>
      <c r="O224" s="77"/>
      <c r="P224" s="78">
        <f t="shared" si="35"/>
        <v>0</v>
      </c>
      <c r="Q224" s="79">
        <f t="shared" si="36"/>
        <v>56</v>
      </c>
      <c r="R224" s="64">
        <f t="shared" si="37"/>
        <v>56</v>
      </c>
    </row>
    <row r="225" spans="1:18" x14ac:dyDescent="0.4">
      <c r="A225" s="54"/>
      <c r="B225" s="55"/>
      <c r="C225" s="56" t="s">
        <v>4</v>
      </c>
      <c r="D225" s="93" t="s">
        <v>25</v>
      </c>
      <c r="E225" s="94"/>
      <c r="F225" s="57"/>
      <c r="G225" s="57">
        <v>780</v>
      </c>
      <c r="H225" s="65"/>
      <c r="I225" s="73" t="s">
        <v>23</v>
      </c>
      <c r="J225" s="74"/>
      <c r="K225" s="75">
        <v>780</v>
      </c>
      <c r="L225" s="67"/>
      <c r="M225" s="76"/>
      <c r="N225" s="64">
        <f t="shared" si="16"/>
        <v>780</v>
      </c>
      <c r="O225" s="77"/>
      <c r="P225" s="78">
        <f t="shared" si="35"/>
        <v>70</v>
      </c>
      <c r="Q225" s="79">
        <f t="shared" si="36"/>
        <v>0</v>
      </c>
      <c r="R225" s="64">
        <f t="shared" si="37"/>
        <v>70</v>
      </c>
    </row>
    <row r="226" spans="1:18" x14ac:dyDescent="0.4">
      <c r="A226" s="54"/>
      <c r="B226" s="55">
        <v>45406</v>
      </c>
      <c r="C226" s="56" t="s">
        <v>4</v>
      </c>
      <c r="D226" s="93" t="s">
        <v>25</v>
      </c>
      <c r="E226" s="94"/>
      <c r="F226" s="57"/>
      <c r="G226" s="57">
        <v>1787</v>
      </c>
      <c r="H226" s="65"/>
      <c r="I226" s="73" t="s">
        <v>23</v>
      </c>
      <c r="J226" s="74"/>
      <c r="K226" s="75">
        <v>583</v>
      </c>
      <c r="L226" s="67">
        <v>1204</v>
      </c>
      <c r="M226" s="76"/>
      <c r="N226" s="64">
        <f t="shared" si="16"/>
        <v>1787</v>
      </c>
      <c r="O226" s="77"/>
      <c r="P226" s="78">
        <f t="shared" si="35"/>
        <v>53</v>
      </c>
      <c r="Q226" s="79">
        <f t="shared" si="36"/>
        <v>89</v>
      </c>
      <c r="R226" s="64">
        <f t="shared" si="37"/>
        <v>142</v>
      </c>
    </row>
    <row r="227" spans="1:18" x14ac:dyDescent="0.4">
      <c r="A227" s="54"/>
      <c r="B227" s="55"/>
      <c r="C227" s="56" t="s">
        <v>4</v>
      </c>
      <c r="D227" s="93" t="s">
        <v>25</v>
      </c>
      <c r="E227" s="94"/>
      <c r="F227" s="57"/>
      <c r="G227" s="57">
        <v>2620</v>
      </c>
      <c r="H227" s="65"/>
      <c r="I227" s="73" t="s">
        <v>23</v>
      </c>
      <c r="J227" s="74"/>
      <c r="K227" s="75">
        <v>2620</v>
      </c>
      <c r="L227" s="67"/>
      <c r="M227" s="76"/>
      <c r="N227" s="64">
        <f t="shared" si="16"/>
        <v>2620</v>
      </c>
      <c r="O227" s="77"/>
      <c r="P227" s="78">
        <f t="shared" si="35"/>
        <v>238</v>
      </c>
      <c r="Q227" s="79">
        <f t="shared" si="36"/>
        <v>0</v>
      </c>
      <c r="R227" s="64">
        <f t="shared" si="37"/>
        <v>238</v>
      </c>
    </row>
    <row r="228" spans="1:18" x14ac:dyDescent="0.4">
      <c r="A228" s="54"/>
      <c r="B228" s="55">
        <v>45407</v>
      </c>
      <c r="C228" s="56" t="s">
        <v>4</v>
      </c>
      <c r="D228" s="93" t="s">
        <v>25</v>
      </c>
      <c r="E228" s="94"/>
      <c r="F228" s="57"/>
      <c r="G228" s="57">
        <v>1832</v>
      </c>
      <c r="H228" s="65"/>
      <c r="I228" s="73" t="s">
        <v>23</v>
      </c>
      <c r="J228" s="74"/>
      <c r="K228" s="75">
        <v>583</v>
      </c>
      <c r="L228" s="67">
        <v>1249</v>
      </c>
      <c r="M228" s="76"/>
      <c r="N228" s="64">
        <f t="shared" si="16"/>
        <v>1832</v>
      </c>
      <c r="O228" s="77"/>
      <c r="P228" s="78">
        <f t="shared" si="35"/>
        <v>53</v>
      </c>
      <c r="Q228" s="79">
        <f t="shared" si="36"/>
        <v>92</v>
      </c>
      <c r="R228" s="64">
        <f t="shared" si="37"/>
        <v>145</v>
      </c>
    </row>
    <row r="229" spans="1:18" x14ac:dyDescent="0.4">
      <c r="A229" s="54"/>
      <c r="B229" s="55">
        <v>45408</v>
      </c>
      <c r="C229" s="56" t="s">
        <v>4</v>
      </c>
      <c r="D229" s="93" t="s">
        <v>25</v>
      </c>
      <c r="E229" s="94"/>
      <c r="F229" s="57"/>
      <c r="G229" s="57">
        <v>1787</v>
      </c>
      <c r="H229" s="65"/>
      <c r="I229" s="73" t="s">
        <v>23</v>
      </c>
      <c r="J229" s="74"/>
      <c r="K229" s="75">
        <v>583</v>
      </c>
      <c r="L229" s="67">
        <v>1204</v>
      </c>
      <c r="M229" s="76"/>
      <c r="N229" s="64">
        <f t="shared" si="16"/>
        <v>1787</v>
      </c>
      <c r="O229" s="77"/>
      <c r="P229" s="78">
        <f t="shared" si="35"/>
        <v>53</v>
      </c>
      <c r="Q229" s="79">
        <f t="shared" si="36"/>
        <v>89</v>
      </c>
      <c r="R229" s="64">
        <f t="shared" si="37"/>
        <v>142</v>
      </c>
    </row>
    <row r="230" spans="1:18" x14ac:dyDescent="0.4">
      <c r="A230" s="54"/>
      <c r="B230" s="55"/>
      <c r="C230" s="56" t="s">
        <v>4</v>
      </c>
      <c r="D230" s="93" t="s">
        <v>25</v>
      </c>
      <c r="E230" s="94"/>
      <c r="F230" s="57"/>
      <c r="G230" s="57">
        <v>2937</v>
      </c>
      <c r="H230" s="65"/>
      <c r="I230" s="73" t="s">
        <v>23</v>
      </c>
      <c r="J230" s="74"/>
      <c r="K230" s="75">
        <v>2937</v>
      </c>
      <c r="L230" s="67"/>
      <c r="M230" s="76"/>
      <c r="N230" s="64">
        <f t="shared" si="16"/>
        <v>2937</v>
      </c>
      <c r="O230" s="77"/>
      <c r="P230" s="78">
        <f t="shared" si="35"/>
        <v>267</v>
      </c>
      <c r="Q230" s="79">
        <f t="shared" si="36"/>
        <v>0</v>
      </c>
      <c r="R230" s="64">
        <f t="shared" si="37"/>
        <v>267</v>
      </c>
    </row>
    <row r="231" spans="1:18" x14ac:dyDescent="0.4">
      <c r="A231" s="54"/>
      <c r="B231" s="55"/>
      <c r="C231" s="56" t="s">
        <v>4</v>
      </c>
      <c r="D231" s="93" t="s">
        <v>27</v>
      </c>
      <c r="E231" s="94"/>
      <c r="F231" s="57"/>
      <c r="G231" s="57">
        <v>5642</v>
      </c>
      <c r="H231" s="65"/>
      <c r="I231" s="73" t="s">
        <v>23</v>
      </c>
      <c r="J231" s="74"/>
      <c r="K231" s="75">
        <v>4474</v>
      </c>
      <c r="L231" s="67"/>
      <c r="M231" s="76">
        <v>1168</v>
      </c>
      <c r="N231" s="64">
        <f>IF(K231+L231+M231=0,"",K231+L231+M231)</f>
        <v>5642</v>
      </c>
      <c r="O231" s="77"/>
      <c r="P231" s="78">
        <f>ROUNDDOWN($K231/110*10,0)</f>
        <v>406</v>
      </c>
      <c r="Q231" s="79">
        <f>ROUNDDOWN($L231/108*8,0)</f>
        <v>0</v>
      </c>
      <c r="R231" s="64">
        <f>P231+Q231</f>
        <v>406</v>
      </c>
    </row>
    <row r="232" spans="1:18" x14ac:dyDescent="0.4">
      <c r="A232" s="54"/>
      <c r="B232" s="55"/>
      <c r="C232" s="56" t="s">
        <v>4</v>
      </c>
      <c r="D232" s="93" t="s">
        <v>25</v>
      </c>
      <c r="E232" s="94"/>
      <c r="F232" s="57"/>
      <c r="G232" s="57">
        <v>675</v>
      </c>
      <c r="H232" s="65"/>
      <c r="I232" s="73" t="s">
        <v>23</v>
      </c>
      <c r="J232" s="74"/>
      <c r="K232" s="75"/>
      <c r="L232" s="67">
        <v>675</v>
      </c>
      <c r="M232" s="76"/>
      <c r="N232" s="64">
        <f t="shared" si="16"/>
        <v>675</v>
      </c>
      <c r="O232" s="77"/>
      <c r="P232" s="78">
        <f t="shared" si="35"/>
        <v>0</v>
      </c>
      <c r="Q232" s="79">
        <f t="shared" si="36"/>
        <v>50</v>
      </c>
      <c r="R232" s="64">
        <f t="shared" si="37"/>
        <v>50</v>
      </c>
    </row>
    <row r="233" spans="1:18" x14ac:dyDescent="0.4">
      <c r="A233" s="54"/>
      <c r="B233" s="55"/>
      <c r="C233" s="56" t="s">
        <v>4</v>
      </c>
      <c r="D233" s="93" t="s">
        <v>28</v>
      </c>
      <c r="E233" s="94"/>
      <c r="F233" s="57"/>
      <c r="G233" s="57">
        <v>3150</v>
      </c>
      <c r="H233" s="65"/>
      <c r="I233" s="73" t="s">
        <v>23</v>
      </c>
      <c r="J233" s="74"/>
      <c r="K233" s="75">
        <v>3150</v>
      </c>
      <c r="L233" s="67"/>
      <c r="M233" s="76"/>
      <c r="N233" s="64">
        <f t="shared" si="16"/>
        <v>3150</v>
      </c>
      <c r="O233" s="77"/>
      <c r="P233" s="78">
        <f t="shared" si="35"/>
        <v>286</v>
      </c>
      <c r="Q233" s="79">
        <f t="shared" si="36"/>
        <v>0</v>
      </c>
      <c r="R233" s="64">
        <f t="shared" ref="R233:R236" si="38">P233+Q233</f>
        <v>286</v>
      </c>
    </row>
    <row r="234" spans="1:18" x14ac:dyDescent="0.4">
      <c r="A234" s="54"/>
      <c r="B234" s="55">
        <v>45409</v>
      </c>
      <c r="C234" s="56" t="s">
        <v>4</v>
      </c>
      <c r="D234" s="93" t="s">
        <v>25</v>
      </c>
      <c r="E234" s="94"/>
      <c r="F234" s="57"/>
      <c r="G234" s="57">
        <v>1844</v>
      </c>
      <c r="H234" s="65"/>
      <c r="I234" s="73" t="s">
        <v>23</v>
      </c>
      <c r="J234" s="74"/>
      <c r="K234" s="75">
        <v>1261</v>
      </c>
      <c r="L234" s="67">
        <v>583</v>
      </c>
      <c r="M234" s="76"/>
      <c r="N234" s="64">
        <f t="shared" si="16"/>
        <v>1844</v>
      </c>
      <c r="O234" s="77"/>
      <c r="P234" s="78">
        <f t="shared" si="35"/>
        <v>114</v>
      </c>
      <c r="Q234" s="79">
        <f t="shared" si="36"/>
        <v>43</v>
      </c>
      <c r="R234" s="64">
        <f t="shared" si="38"/>
        <v>157</v>
      </c>
    </row>
    <row r="235" spans="1:18" x14ac:dyDescent="0.4">
      <c r="A235" s="54"/>
      <c r="B235" s="55"/>
      <c r="C235" s="56" t="s">
        <v>4</v>
      </c>
      <c r="D235" s="93" t="s">
        <v>25</v>
      </c>
      <c r="E235" s="94"/>
      <c r="F235" s="57"/>
      <c r="G235" s="57">
        <v>1463</v>
      </c>
      <c r="H235" s="65"/>
      <c r="I235" s="73" t="s">
        <v>23</v>
      </c>
      <c r="J235" s="74"/>
      <c r="K235" s="75">
        <v>1463</v>
      </c>
      <c r="L235" s="67"/>
      <c r="M235" s="76"/>
      <c r="N235" s="64">
        <f t="shared" si="16"/>
        <v>1463</v>
      </c>
      <c r="O235" s="77"/>
      <c r="P235" s="78">
        <f t="shared" si="35"/>
        <v>133</v>
      </c>
      <c r="Q235" s="79">
        <f t="shared" si="36"/>
        <v>0</v>
      </c>
      <c r="R235" s="64">
        <f t="shared" si="38"/>
        <v>133</v>
      </c>
    </row>
    <row r="236" spans="1:18" x14ac:dyDescent="0.4">
      <c r="A236" s="81"/>
      <c r="B236" s="55"/>
      <c r="C236" s="56" t="s">
        <v>4</v>
      </c>
      <c r="D236" s="100" t="s">
        <v>92</v>
      </c>
      <c r="E236" s="101"/>
      <c r="F236" s="57"/>
      <c r="G236" s="57">
        <v>1200</v>
      </c>
      <c r="H236" s="65"/>
      <c r="I236" s="82" t="s">
        <v>29</v>
      </c>
      <c r="J236" s="74"/>
      <c r="K236" s="83">
        <v>1200</v>
      </c>
      <c r="L236" s="84"/>
      <c r="M236" s="85"/>
      <c r="N236" s="86">
        <f t="shared" si="16"/>
        <v>1200</v>
      </c>
      <c r="O236" s="77"/>
      <c r="P236" s="87">
        <f t="shared" si="35"/>
        <v>109</v>
      </c>
      <c r="Q236" s="88">
        <f t="shared" si="36"/>
        <v>0</v>
      </c>
      <c r="R236" s="86">
        <f t="shared" si="38"/>
        <v>109</v>
      </c>
    </row>
    <row r="237" spans="1:18" x14ac:dyDescent="0.4">
      <c r="A237" s="3"/>
      <c r="B237" s="4"/>
      <c r="C237" s="5"/>
      <c r="D237" s="95"/>
      <c r="E237" s="96"/>
      <c r="F237" s="22"/>
      <c r="G237" s="22"/>
      <c r="I237" s="9"/>
      <c r="J237" s="11"/>
      <c r="K237" s="25"/>
      <c r="L237" s="21"/>
      <c r="M237" s="26"/>
      <c r="N237" s="27" t="str">
        <f t="shared" si="16"/>
        <v/>
      </c>
    </row>
    <row r="238" spans="1:18" ht="19.5" thickBot="1" x14ac:dyDescent="0.45">
      <c r="A238" s="3"/>
      <c r="B238" s="4"/>
      <c r="C238" s="5"/>
      <c r="D238" s="95"/>
      <c r="E238" s="96"/>
      <c r="F238" s="22"/>
      <c r="G238" s="22"/>
      <c r="I238" s="9"/>
      <c r="J238" s="11"/>
      <c r="K238" s="25"/>
      <c r="L238" s="21"/>
      <c r="M238" s="26"/>
      <c r="N238" s="27" t="str">
        <f t="shared" ref="N238" si="39">IF(K238+L238+M238=0,"",K238+L238+M238)</f>
        <v/>
      </c>
    </row>
    <row r="239" spans="1:18" ht="19.5" thickBot="1" x14ac:dyDescent="0.45">
      <c r="A239" s="2"/>
      <c r="B239" s="2"/>
      <c r="C239" s="2"/>
      <c r="D239" s="39"/>
      <c r="E239" s="43" t="s">
        <v>13</v>
      </c>
      <c r="F239" s="40"/>
      <c r="G239" s="41">
        <f>SUM(G2:G238)</f>
        <v>892798</v>
      </c>
      <c r="I239" s="2"/>
      <c r="K239" s="34">
        <f>SUM(K2:K238)</f>
        <v>779125</v>
      </c>
      <c r="L239" s="24">
        <f t="shared" ref="L239:N239" si="40">SUM(L2:L238)</f>
        <v>109029</v>
      </c>
      <c r="M239" s="35">
        <f t="shared" si="40"/>
        <v>4644</v>
      </c>
      <c r="N239" s="36">
        <f t="shared" si="40"/>
        <v>892798</v>
      </c>
    </row>
  </sheetData>
  <sheetProtection formatColumns="0" pivotTables="0"/>
  <mergeCells count="226">
    <mergeCell ref="D2:E2"/>
    <mergeCell ref="D41:E41"/>
    <mergeCell ref="D61:E61"/>
    <mergeCell ref="D46:E46"/>
    <mergeCell ref="D94:E94"/>
    <mergeCell ref="D124:E124"/>
    <mergeCell ref="D125:E12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56:E56"/>
    <mergeCell ref="D57:E57"/>
    <mergeCell ref="D58:E58"/>
    <mergeCell ref="D59:E59"/>
    <mergeCell ref="D60:E60"/>
    <mergeCell ref="D42:E42"/>
    <mergeCell ref="D43:E43"/>
    <mergeCell ref="D44:E44"/>
    <mergeCell ref="D45:E45"/>
    <mergeCell ref="D238:E238"/>
    <mergeCell ref="D201:E201"/>
    <mergeCell ref="D237:E237"/>
    <mergeCell ref="D200:E200"/>
    <mergeCell ref="D202:E202"/>
    <mergeCell ref="D203:E203"/>
    <mergeCell ref="D204:E204"/>
    <mergeCell ref="D157:E157"/>
    <mergeCell ref="D158:E158"/>
    <mergeCell ref="D177:E177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81:E181"/>
    <mergeCell ref="D182:E182"/>
    <mergeCell ref="D183:E183"/>
    <mergeCell ref="D184:E184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68:E68"/>
    <mergeCell ref="D69:E69"/>
    <mergeCell ref="D70:E70"/>
    <mergeCell ref="D71:E71"/>
    <mergeCell ref="D72:E72"/>
    <mergeCell ref="D73:E73"/>
    <mergeCell ref="D62:E62"/>
    <mergeCell ref="D63:E63"/>
    <mergeCell ref="D64:E64"/>
    <mergeCell ref="D65:E65"/>
    <mergeCell ref="D66:E66"/>
    <mergeCell ref="D67:E67"/>
    <mergeCell ref="D80:E80"/>
    <mergeCell ref="D81:E81"/>
    <mergeCell ref="D82:E82"/>
    <mergeCell ref="D83:E83"/>
    <mergeCell ref="D84:E84"/>
    <mergeCell ref="D85:E85"/>
    <mergeCell ref="D74:E74"/>
    <mergeCell ref="D75:E75"/>
    <mergeCell ref="D76:E76"/>
    <mergeCell ref="D77:E77"/>
    <mergeCell ref="D78:E78"/>
    <mergeCell ref="D79:E79"/>
    <mergeCell ref="D92:E92"/>
    <mergeCell ref="D93:E93"/>
    <mergeCell ref="D95:E95"/>
    <mergeCell ref="D96:E96"/>
    <mergeCell ref="D97:E97"/>
    <mergeCell ref="D98:E98"/>
    <mergeCell ref="D86:E86"/>
    <mergeCell ref="D87:E87"/>
    <mergeCell ref="D88:E88"/>
    <mergeCell ref="D89:E89"/>
    <mergeCell ref="D90:E90"/>
    <mergeCell ref="D91:E91"/>
    <mergeCell ref="D105:E105"/>
    <mergeCell ref="D106:E106"/>
    <mergeCell ref="D107:E107"/>
    <mergeCell ref="D108:E108"/>
    <mergeCell ref="D109:E109"/>
    <mergeCell ref="D110:E110"/>
    <mergeCell ref="D99:E99"/>
    <mergeCell ref="D100:E100"/>
    <mergeCell ref="D101:E101"/>
    <mergeCell ref="D102:E102"/>
    <mergeCell ref="D103:E103"/>
    <mergeCell ref="D104:E104"/>
    <mergeCell ref="D117:E117"/>
    <mergeCell ref="D118:E118"/>
    <mergeCell ref="D119:E119"/>
    <mergeCell ref="D120:E120"/>
    <mergeCell ref="D121:E121"/>
    <mergeCell ref="D122:E122"/>
    <mergeCell ref="D111:E111"/>
    <mergeCell ref="D112:E112"/>
    <mergeCell ref="D113:E113"/>
    <mergeCell ref="D114:E114"/>
    <mergeCell ref="D115:E115"/>
    <mergeCell ref="D116:E116"/>
    <mergeCell ref="D123:E123"/>
    <mergeCell ref="D159:E159"/>
    <mergeCell ref="D160:E160"/>
    <mergeCell ref="D161:E161"/>
    <mergeCell ref="D162:E162"/>
    <mergeCell ref="D163:E163"/>
    <mergeCell ref="D154:E154"/>
    <mergeCell ref="D144:E144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85:E185"/>
    <mergeCell ref="D186:E186"/>
    <mergeCell ref="D174:E174"/>
    <mergeCell ref="D175:E175"/>
    <mergeCell ref="D176:E176"/>
    <mergeCell ref="D178:E178"/>
    <mergeCell ref="D179:E179"/>
    <mergeCell ref="D180:E180"/>
    <mergeCell ref="D193:E193"/>
    <mergeCell ref="D194:E194"/>
    <mergeCell ref="D195:E195"/>
    <mergeCell ref="D197:E197"/>
    <mergeCell ref="D198:E198"/>
    <mergeCell ref="D199:E199"/>
    <mergeCell ref="D187:E187"/>
    <mergeCell ref="D188:E188"/>
    <mergeCell ref="D189:E189"/>
    <mergeCell ref="D190:E190"/>
    <mergeCell ref="D191:E191"/>
    <mergeCell ref="D192:E192"/>
    <mergeCell ref="D196:E196"/>
    <mergeCell ref="D211:E211"/>
    <mergeCell ref="D212:E212"/>
    <mergeCell ref="D213:E213"/>
    <mergeCell ref="D214:E214"/>
    <mergeCell ref="D215:E215"/>
    <mergeCell ref="D216:E216"/>
    <mergeCell ref="D205:E205"/>
    <mergeCell ref="D206:E206"/>
    <mergeCell ref="D207:E207"/>
    <mergeCell ref="D208:E208"/>
    <mergeCell ref="D209:E209"/>
    <mergeCell ref="D210:E210"/>
    <mergeCell ref="D225:E225"/>
    <mergeCell ref="D226:E226"/>
    <mergeCell ref="D227:E227"/>
    <mergeCell ref="D228:E228"/>
    <mergeCell ref="D217:E217"/>
    <mergeCell ref="D218:E218"/>
    <mergeCell ref="D219:E219"/>
    <mergeCell ref="D220:E220"/>
    <mergeCell ref="D221:E221"/>
    <mergeCell ref="D222:E222"/>
    <mergeCell ref="D11:E11"/>
    <mergeCell ref="D12:E12"/>
    <mergeCell ref="D13:E13"/>
    <mergeCell ref="D14:E14"/>
    <mergeCell ref="D15:E15"/>
    <mergeCell ref="D16:E16"/>
    <mergeCell ref="D235:E235"/>
    <mergeCell ref="D236:E236"/>
    <mergeCell ref="D3:E3"/>
    <mergeCell ref="D4:E4"/>
    <mergeCell ref="D5:E5"/>
    <mergeCell ref="D6:E6"/>
    <mergeCell ref="D7:E7"/>
    <mergeCell ref="D8:E8"/>
    <mergeCell ref="D9:E9"/>
    <mergeCell ref="D10:E10"/>
    <mergeCell ref="D229:E229"/>
    <mergeCell ref="D230:E230"/>
    <mergeCell ref="D231:E231"/>
    <mergeCell ref="D232:E232"/>
    <mergeCell ref="D233:E233"/>
    <mergeCell ref="D234:E234"/>
    <mergeCell ref="D223:E223"/>
    <mergeCell ref="D224:E22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35:E35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36:E36"/>
  </mergeCells>
  <phoneticPr fontId="2"/>
  <conditionalFormatting sqref="P3:R40">
    <cfRule type="cellIs" dxfId="18" priority="1" operator="equal">
      <formula>0</formula>
    </cfRule>
  </conditionalFormatting>
  <conditionalFormatting sqref="P42:R45">
    <cfRule type="cellIs" dxfId="17" priority="10" operator="equal">
      <formula>0</formula>
    </cfRule>
  </conditionalFormatting>
  <conditionalFormatting sqref="P47:R60">
    <cfRule type="cellIs" dxfId="16" priority="11" operator="equal">
      <formula>0</formula>
    </cfRule>
  </conditionalFormatting>
  <conditionalFormatting sqref="P62:R93">
    <cfRule type="cellIs" dxfId="15" priority="9" operator="equal">
      <formula>0</formula>
    </cfRule>
  </conditionalFormatting>
  <conditionalFormatting sqref="P95:R123">
    <cfRule type="cellIs" dxfId="14" priority="8" operator="equal">
      <formula>0</formula>
    </cfRule>
  </conditionalFormatting>
  <conditionalFormatting sqref="P125:R157">
    <cfRule type="cellIs" dxfId="13" priority="7" operator="equal">
      <formula>0</formula>
    </cfRule>
  </conditionalFormatting>
  <conditionalFormatting sqref="P159:R176">
    <cfRule type="cellIs" dxfId="12" priority="6" operator="equal">
      <formula>0</formula>
    </cfRule>
  </conditionalFormatting>
  <conditionalFormatting sqref="P178:R195">
    <cfRule type="cellIs" dxfId="11" priority="5" operator="equal">
      <formula>0</formula>
    </cfRule>
  </conditionalFormatting>
  <conditionalFormatting sqref="P197:R200">
    <cfRule type="cellIs" dxfId="10" priority="4" operator="equal">
      <formula>0</formula>
    </cfRule>
  </conditionalFormatting>
  <conditionalFormatting sqref="P202:R236">
    <cfRule type="cellIs" dxfId="9" priority="3" operator="equal">
      <formula>0</formula>
    </cfRule>
  </conditionalFormatting>
  <dataValidations count="3">
    <dataValidation allowBlank="1" showInputMessage="1" showErrorMessage="1" promptTitle="西暦入力" prompt="〇〇〇〇/〇〇/〇〇で入力ください。" sqref="B2:B238" xr:uid="{BE12B709-9D63-4351-93D3-F50F8457FE09}"/>
    <dataValidation type="list" allowBlank="1" showInputMessage="1" showErrorMessage="1" sqref="I2:J238" xr:uid="{68D67A6A-BC64-4B77-A260-A8D967639454}">
      <formula1>"有,無,不要"</formula1>
    </dataValidation>
    <dataValidation type="list" allowBlank="1" showInputMessage="1" showErrorMessage="1" sqref="C2:C238" xr:uid="{C5EAF6AD-2535-4B64-BD56-A06F29995501}">
      <formula1>"旅費交通費,仕入材料,現場関係費,交際費,厚生費,水道光熱費,通信費,租税公課,事務消耗品費,運賃,消耗品費,諸会費,諸雑費"</formula1>
    </dataValidation>
  </dataValidations>
  <pageMargins left="0.51181102362204722" right="0.11811023622047245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6AA8-755B-467A-9FE1-C78B04E96B33}">
  <sheetPr>
    <tabColor rgb="FFFF0000"/>
  </sheetPr>
  <dimension ref="A1:R166"/>
  <sheetViews>
    <sheetView zoomScaleNormal="100" workbookViewId="0"/>
  </sheetViews>
  <sheetFormatPr defaultRowHeight="18.75" outlineLevelCol="1" x14ac:dyDescent="0.4"/>
  <cols>
    <col min="1" max="1" width="6" customWidth="1"/>
    <col min="2" max="2" width="8.875" customWidth="1"/>
    <col min="3" max="3" width="10.5" customWidth="1"/>
    <col min="4" max="4" width="35.125" customWidth="1"/>
    <col min="5" max="5" width="5.5" customWidth="1"/>
    <col min="6" max="7" width="10.625" customWidth="1"/>
    <col min="8" max="8" width="1.5" customWidth="1" outlineLevel="1"/>
    <col min="9" max="9" width="7.25" customWidth="1" outlineLevel="1"/>
    <col min="10" max="10" width="0.875" customWidth="1" outlineLevel="1"/>
    <col min="11" max="13" width="9.25" customWidth="1" outlineLevel="1"/>
    <col min="14" max="14" width="10.25" customWidth="1" outlineLevel="1"/>
    <col min="15" max="15" width="9" customWidth="1" outlineLevel="1"/>
    <col min="16" max="16" width="11.625" bestFit="1" customWidth="1"/>
    <col min="17" max="17" width="15.875" bestFit="1" customWidth="1"/>
    <col min="18" max="18" width="14.625" bestFit="1" customWidth="1"/>
    <col min="19" max="19" width="15.5" bestFit="1" customWidth="1"/>
    <col min="20" max="20" width="11.375" bestFit="1" customWidth="1"/>
  </cols>
  <sheetData>
    <row r="1" spans="1:14" x14ac:dyDescent="0.4">
      <c r="A1" s="12" t="s">
        <v>20</v>
      </c>
      <c r="B1" s="13" t="s">
        <v>7</v>
      </c>
      <c r="C1" s="13" t="s">
        <v>5</v>
      </c>
      <c r="D1" s="42" t="s">
        <v>6</v>
      </c>
      <c r="E1" s="51" t="s">
        <v>16</v>
      </c>
      <c r="F1" s="14" t="s">
        <v>0</v>
      </c>
      <c r="G1" s="13" t="s">
        <v>1</v>
      </c>
      <c r="H1" s="37" t="s">
        <v>11</v>
      </c>
      <c r="I1" s="15" t="s">
        <v>3</v>
      </c>
      <c r="J1" s="38" t="s">
        <v>12</v>
      </c>
      <c r="K1" s="16" t="s">
        <v>8</v>
      </c>
      <c r="L1" s="17" t="s">
        <v>9</v>
      </c>
      <c r="M1" s="18" t="s">
        <v>2</v>
      </c>
      <c r="N1" s="19" t="s">
        <v>10</v>
      </c>
    </row>
    <row r="2" spans="1:14" x14ac:dyDescent="0.4">
      <c r="A2" s="3"/>
      <c r="B2" s="4"/>
      <c r="C2" s="5"/>
      <c r="D2" s="95" t="s">
        <v>108</v>
      </c>
      <c r="E2" s="96"/>
      <c r="F2" s="20"/>
      <c r="G2" s="21"/>
      <c r="H2" s="1"/>
      <c r="I2" s="9"/>
      <c r="J2" s="11"/>
      <c r="K2" s="25"/>
      <c r="L2" s="21"/>
      <c r="M2" s="26"/>
      <c r="N2" s="27" t="str">
        <f t="shared" ref="N2:N101" si="0">IF(K2+L2+M2=0,"",K2+L2+M2)</f>
        <v/>
      </c>
    </row>
    <row r="3" spans="1:14" x14ac:dyDescent="0.4">
      <c r="A3" s="3"/>
      <c r="B3" s="4">
        <v>45425</v>
      </c>
      <c r="C3" s="5" t="s">
        <v>4</v>
      </c>
      <c r="D3" s="52" t="s">
        <v>102</v>
      </c>
      <c r="E3" s="52" t="s">
        <v>102</v>
      </c>
      <c r="F3" s="22"/>
      <c r="G3" s="22">
        <v>830</v>
      </c>
      <c r="I3" s="9" t="s">
        <v>23</v>
      </c>
      <c r="J3" s="11"/>
      <c r="K3" s="25">
        <v>830</v>
      </c>
      <c r="L3" s="21"/>
      <c r="M3" s="26"/>
      <c r="N3" s="27">
        <f t="shared" si="0"/>
        <v>830</v>
      </c>
    </row>
    <row r="4" spans="1:14" x14ac:dyDescent="0.4">
      <c r="A4" s="54"/>
      <c r="B4" s="55">
        <v>45426</v>
      </c>
      <c r="C4" s="56" t="s">
        <v>4</v>
      </c>
      <c r="D4" s="52" t="s">
        <v>102</v>
      </c>
      <c r="E4" s="52" t="s">
        <v>102</v>
      </c>
      <c r="F4" s="57"/>
      <c r="G4" s="57">
        <v>1140</v>
      </c>
      <c r="H4" s="58"/>
      <c r="I4" s="59" t="s">
        <v>23</v>
      </c>
      <c r="J4" s="60"/>
      <c r="K4" s="61">
        <v>1140</v>
      </c>
      <c r="L4" s="62"/>
      <c r="M4" s="63"/>
      <c r="N4" s="64">
        <f t="shared" si="0"/>
        <v>1140</v>
      </c>
    </row>
    <row r="5" spans="1:14" x14ac:dyDescent="0.4">
      <c r="A5" s="54"/>
      <c r="B5" s="55">
        <v>45427</v>
      </c>
      <c r="C5" s="56" t="s">
        <v>4</v>
      </c>
      <c r="D5" s="52" t="s">
        <v>102</v>
      </c>
      <c r="E5" s="52" t="s">
        <v>102</v>
      </c>
      <c r="F5" s="57"/>
      <c r="G5" s="57">
        <v>630</v>
      </c>
      <c r="H5" s="65"/>
      <c r="I5" s="59" t="s">
        <v>23</v>
      </c>
      <c r="J5" s="60"/>
      <c r="K5" s="61">
        <v>630</v>
      </c>
      <c r="L5" s="62"/>
      <c r="M5" s="63"/>
      <c r="N5" s="64">
        <f>IF(K5+L5+M5=0,"",K5+L5+M5)</f>
        <v>630</v>
      </c>
    </row>
    <row r="6" spans="1:14" x14ac:dyDescent="0.4">
      <c r="A6" s="54"/>
      <c r="B6" s="55">
        <v>45428</v>
      </c>
      <c r="C6" s="56" t="s">
        <v>4</v>
      </c>
      <c r="D6" s="52" t="s">
        <v>103</v>
      </c>
      <c r="E6" s="52" t="s">
        <v>103</v>
      </c>
      <c r="F6" s="57"/>
      <c r="G6" s="57">
        <v>2560</v>
      </c>
      <c r="H6" s="65"/>
      <c r="I6" s="59" t="s">
        <v>23</v>
      </c>
      <c r="J6" s="60"/>
      <c r="K6" s="61">
        <v>2560</v>
      </c>
      <c r="L6" s="62"/>
      <c r="M6" s="63"/>
      <c r="N6" s="64">
        <f>IF(K6+L6+M6=0,"",K6+L6+M6)</f>
        <v>2560</v>
      </c>
    </row>
    <row r="7" spans="1:14" x14ac:dyDescent="0.4">
      <c r="A7" s="54"/>
      <c r="B7" s="55">
        <v>45428</v>
      </c>
      <c r="C7" s="56" t="s">
        <v>4</v>
      </c>
      <c r="D7" s="52" t="s">
        <v>103</v>
      </c>
      <c r="E7" s="52" t="s">
        <v>103</v>
      </c>
      <c r="F7" s="57"/>
      <c r="G7" s="57">
        <v>2650</v>
      </c>
      <c r="H7" s="65"/>
      <c r="I7" s="59" t="s">
        <v>23</v>
      </c>
      <c r="J7" s="60"/>
      <c r="K7" s="61">
        <v>2650</v>
      </c>
      <c r="L7" s="62"/>
      <c r="M7" s="63"/>
      <c r="N7" s="64">
        <f t="shared" si="0"/>
        <v>2650</v>
      </c>
    </row>
    <row r="8" spans="1:14" x14ac:dyDescent="0.4">
      <c r="A8" s="54"/>
      <c r="B8" s="55">
        <v>45428</v>
      </c>
      <c r="C8" s="56" t="s">
        <v>4</v>
      </c>
      <c r="D8" s="52" t="s">
        <v>102</v>
      </c>
      <c r="E8" s="52" t="s">
        <v>102</v>
      </c>
      <c r="F8" s="66"/>
      <c r="G8" s="67">
        <v>19420</v>
      </c>
      <c r="H8" s="65"/>
      <c r="I8" s="59" t="s">
        <v>23</v>
      </c>
      <c r="J8" s="60"/>
      <c r="K8" s="61">
        <v>19420</v>
      </c>
      <c r="L8" s="62"/>
      <c r="M8" s="63"/>
      <c r="N8" s="64">
        <f>IF(K8+L8+M8=0,"",K8+L8+M8)</f>
        <v>19420</v>
      </c>
    </row>
    <row r="9" spans="1:14" x14ac:dyDescent="0.4">
      <c r="A9" s="54"/>
      <c r="B9" s="55">
        <v>45432</v>
      </c>
      <c r="C9" s="56" t="s">
        <v>4</v>
      </c>
      <c r="D9" s="52" t="s">
        <v>102</v>
      </c>
      <c r="E9" s="52" t="s">
        <v>102</v>
      </c>
      <c r="F9" s="57"/>
      <c r="G9" s="57">
        <v>1050</v>
      </c>
      <c r="H9" s="65"/>
      <c r="I9" s="59" t="s">
        <v>23</v>
      </c>
      <c r="J9" s="60"/>
      <c r="K9" s="61">
        <v>1050</v>
      </c>
      <c r="L9" s="62"/>
      <c r="M9" s="63"/>
      <c r="N9" s="64">
        <f t="shared" si="0"/>
        <v>1050</v>
      </c>
    </row>
    <row r="10" spans="1:14" x14ac:dyDescent="0.4">
      <c r="A10" s="54"/>
      <c r="B10" s="55">
        <v>45433</v>
      </c>
      <c r="C10" s="56" t="s">
        <v>4</v>
      </c>
      <c r="D10" s="52" t="s">
        <v>102</v>
      </c>
      <c r="E10" s="52" t="s">
        <v>102</v>
      </c>
      <c r="F10" s="57"/>
      <c r="G10" s="57">
        <v>1050</v>
      </c>
      <c r="H10" s="65"/>
      <c r="I10" s="59" t="s">
        <v>23</v>
      </c>
      <c r="J10" s="60"/>
      <c r="K10" s="61">
        <v>1050</v>
      </c>
      <c r="L10" s="62"/>
      <c r="M10" s="63"/>
      <c r="N10" s="64">
        <f t="shared" si="0"/>
        <v>1050</v>
      </c>
    </row>
    <row r="11" spans="1:14" x14ac:dyDescent="0.4">
      <c r="A11" s="54"/>
      <c r="B11" s="55">
        <v>45434</v>
      </c>
      <c r="C11" s="56" t="s">
        <v>4</v>
      </c>
      <c r="D11" s="52" t="s">
        <v>102</v>
      </c>
      <c r="E11" s="52" t="s">
        <v>102</v>
      </c>
      <c r="F11" s="57"/>
      <c r="G11" s="57">
        <v>900</v>
      </c>
      <c r="H11" s="65"/>
      <c r="I11" s="59" t="s">
        <v>23</v>
      </c>
      <c r="J11" s="60"/>
      <c r="K11" s="61">
        <v>900</v>
      </c>
      <c r="L11" s="62"/>
      <c r="M11" s="63"/>
      <c r="N11" s="64">
        <f t="shared" si="0"/>
        <v>900</v>
      </c>
    </row>
    <row r="12" spans="1:14" x14ac:dyDescent="0.4">
      <c r="A12" s="54"/>
      <c r="B12" s="55">
        <v>45435</v>
      </c>
      <c r="C12" s="56" t="s">
        <v>4</v>
      </c>
      <c r="D12" s="52" t="s">
        <v>102</v>
      </c>
      <c r="E12" s="52" t="s">
        <v>102</v>
      </c>
      <c r="F12" s="57"/>
      <c r="G12" s="57">
        <v>1248</v>
      </c>
      <c r="H12" s="65"/>
      <c r="I12" s="59" t="s">
        <v>23</v>
      </c>
      <c r="J12" s="60"/>
      <c r="K12" s="61">
        <v>1248</v>
      </c>
      <c r="L12" s="62"/>
      <c r="M12" s="63"/>
      <c r="N12" s="64">
        <f t="shared" si="0"/>
        <v>1248</v>
      </c>
    </row>
    <row r="13" spans="1:14" x14ac:dyDescent="0.4">
      <c r="A13" s="54"/>
      <c r="B13" s="55">
        <v>45436</v>
      </c>
      <c r="C13" s="56" t="s">
        <v>4</v>
      </c>
      <c r="D13" s="52" t="s">
        <v>104</v>
      </c>
      <c r="E13" s="52" t="s">
        <v>104</v>
      </c>
      <c r="F13" s="57"/>
      <c r="G13" s="57">
        <v>4961</v>
      </c>
      <c r="H13" s="65"/>
      <c r="I13" s="59" t="s">
        <v>23</v>
      </c>
      <c r="J13" s="60"/>
      <c r="K13" s="61">
        <v>4961</v>
      </c>
      <c r="L13" s="62"/>
      <c r="M13" s="63"/>
      <c r="N13" s="64">
        <f>IF(K13+L13+M13=0,"",K13+L13+M13)</f>
        <v>4961</v>
      </c>
    </row>
    <row r="14" spans="1:14" x14ac:dyDescent="0.4">
      <c r="A14" s="54"/>
      <c r="B14" s="55">
        <v>45441</v>
      </c>
      <c r="C14" s="56" t="s">
        <v>42</v>
      </c>
      <c r="D14" s="52" t="s">
        <v>105</v>
      </c>
      <c r="E14" s="52" t="s">
        <v>105</v>
      </c>
      <c r="F14" s="57"/>
      <c r="G14" s="57">
        <v>2120</v>
      </c>
      <c r="H14" s="65"/>
      <c r="I14" s="59" t="s">
        <v>23</v>
      </c>
      <c r="J14" s="60"/>
      <c r="K14" s="61">
        <v>2120</v>
      </c>
      <c r="L14" s="62"/>
      <c r="M14" s="63"/>
      <c r="N14" s="64">
        <f t="shared" si="0"/>
        <v>2120</v>
      </c>
    </row>
    <row r="15" spans="1:14" x14ac:dyDescent="0.4">
      <c r="A15" s="54"/>
      <c r="B15" s="55">
        <v>45441</v>
      </c>
      <c r="C15" s="56" t="s">
        <v>4</v>
      </c>
      <c r="D15" s="52" t="s">
        <v>106</v>
      </c>
      <c r="E15" s="52" t="s">
        <v>106</v>
      </c>
      <c r="F15" s="57"/>
      <c r="G15" s="57">
        <v>3696</v>
      </c>
      <c r="H15" s="65"/>
      <c r="I15" s="59" t="s">
        <v>23</v>
      </c>
      <c r="J15" s="60"/>
      <c r="K15" s="61">
        <v>3696</v>
      </c>
      <c r="L15" s="62"/>
      <c r="M15" s="68"/>
      <c r="N15" s="64">
        <f t="shared" si="0"/>
        <v>3696</v>
      </c>
    </row>
    <row r="16" spans="1:14" x14ac:dyDescent="0.4">
      <c r="A16" s="54"/>
      <c r="B16" s="55">
        <v>45446</v>
      </c>
      <c r="C16" s="56" t="s">
        <v>40</v>
      </c>
      <c r="D16" s="52" t="s">
        <v>107</v>
      </c>
      <c r="E16" s="52" t="s">
        <v>107</v>
      </c>
      <c r="F16" s="57"/>
      <c r="G16" s="57">
        <v>699</v>
      </c>
      <c r="H16" s="65"/>
      <c r="I16" s="59" t="s">
        <v>23</v>
      </c>
      <c r="J16" s="60"/>
      <c r="K16" s="61">
        <v>699</v>
      </c>
      <c r="L16" s="62"/>
      <c r="M16" s="63"/>
      <c r="N16" s="64">
        <f t="shared" si="0"/>
        <v>699</v>
      </c>
    </row>
    <row r="17" spans="1:18" x14ac:dyDescent="0.4">
      <c r="A17" s="54"/>
      <c r="B17" s="55">
        <v>45447</v>
      </c>
      <c r="C17" s="56" t="s">
        <v>40</v>
      </c>
      <c r="D17" s="52" t="s">
        <v>107</v>
      </c>
      <c r="E17" s="52" t="s">
        <v>107</v>
      </c>
      <c r="F17" s="57"/>
      <c r="G17" s="57">
        <v>1930</v>
      </c>
      <c r="H17" s="65"/>
      <c r="I17" s="59" t="s">
        <v>23</v>
      </c>
      <c r="J17" s="60"/>
      <c r="K17" s="61">
        <v>1930</v>
      </c>
      <c r="L17" s="62"/>
      <c r="M17" s="63"/>
      <c r="N17" s="64">
        <f t="shared" si="0"/>
        <v>1930</v>
      </c>
    </row>
    <row r="18" spans="1:18" x14ac:dyDescent="0.4">
      <c r="A18" s="54"/>
      <c r="B18" s="55">
        <v>45447</v>
      </c>
      <c r="C18" s="56" t="s">
        <v>40</v>
      </c>
      <c r="D18" s="52" t="s">
        <v>107</v>
      </c>
      <c r="E18" s="52" t="s">
        <v>107</v>
      </c>
      <c r="F18" s="57"/>
      <c r="G18" s="57">
        <v>9800</v>
      </c>
      <c r="H18" s="65"/>
      <c r="I18" s="59" t="s">
        <v>23</v>
      </c>
      <c r="J18" s="60"/>
      <c r="K18" s="61">
        <v>9800</v>
      </c>
      <c r="L18" s="62"/>
      <c r="M18" s="63"/>
      <c r="N18" s="64">
        <f t="shared" si="0"/>
        <v>9800</v>
      </c>
    </row>
    <row r="19" spans="1:18" x14ac:dyDescent="0.4">
      <c r="A19" s="54"/>
      <c r="B19" s="55">
        <v>45448</v>
      </c>
      <c r="C19" s="56" t="s">
        <v>40</v>
      </c>
      <c r="D19" s="52" t="s">
        <v>107</v>
      </c>
      <c r="E19" s="52" t="s">
        <v>107</v>
      </c>
      <c r="F19" s="57"/>
      <c r="G19" s="57">
        <v>1599</v>
      </c>
      <c r="H19" s="65"/>
      <c r="I19" s="59" t="s">
        <v>23</v>
      </c>
      <c r="J19" s="60"/>
      <c r="K19" s="61">
        <v>1599</v>
      </c>
      <c r="L19" s="62"/>
      <c r="M19" s="63"/>
      <c r="N19" s="64">
        <f t="shared" si="0"/>
        <v>1599</v>
      </c>
    </row>
    <row r="20" spans="1:18" x14ac:dyDescent="0.4">
      <c r="A20" s="54"/>
      <c r="B20" s="55">
        <v>45448</v>
      </c>
      <c r="C20" s="56" t="s">
        <v>4</v>
      </c>
      <c r="D20" s="52" t="s">
        <v>104</v>
      </c>
      <c r="E20" s="52" t="s">
        <v>104</v>
      </c>
      <c r="F20" s="57"/>
      <c r="G20" s="57">
        <v>5000</v>
      </c>
      <c r="H20" s="65"/>
      <c r="I20" s="59" t="s">
        <v>23</v>
      </c>
      <c r="J20" s="60"/>
      <c r="K20" s="61">
        <v>5000</v>
      </c>
      <c r="L20" s="62"/>
      <c r="M20" s="63"/>
      <c r="N20" s="64">
        <f t="shared" si="0"/>
        <v>5000</v>
      </c>
    </row>
    <row r="21" spans="1:18" x14ac:dyDescent="0.4">
      <c r="A21" s="54"/>
      <c r="B21" s="55"/>
      <c r="C21" s="56"/>
      <c r="D21" s="93"/>
      <c r="E21" s="94"/>
      <c r="F21" s="57"/>
      <c r="G21" s="57"/>
      <c r="H21" s="65"/>
      <c r="I21" s="59"/>
      <c r="J21" s="60"/>
      <c r="K21" s="61"/>
      <c r="L21" s="62"/>
      <c r="M21" s="63"/>
      <c r="N21" s="64" t="str">
        <f t="shared" si="0"/>
        <v/>
      </c>
    </row>
    <row r="22" spans="1:18" x14ac:dyDescent="0.4">
      <c r="A22" s="54"/>
      <c r="B22" s="55"/>
      <c r="C22" s="56"/>
      <c r="D22" s="93" t="s">
        <v>113</v>
      </c>
      <c r="E22" s="94"/>
      <c r="F22" s="57"/>
      <c r="G22" s="57"/>
      <c r="H22" s="65"/>
      <c r="I22" s="59"/>
      <c r="J22" s="60"/>
      <c r="K22" s="61"/>
      <c r="L22" s="62"/>
      <c r="M22" s="63"/>
      <c r="N22" s="64" t="str">
        <f t="shared" si="0"/>
        <v/>
      </c>
    </row>
    <row r="23" spans="1:18" x14ac:dyDescent="0.4">
      <c r="A23" s="3" t="s">
        <v>46</v>
      </c>
      <c r="B23" s="4">
        <v>45439</v>
      </c>
      <c r="C23" s="5" t="s">
        <v>4</v>
      </c>
      <c r="D23" s="95" t="s">
        <v>14</v>
      </c>
      <c r="E23" s="96"/>
      <c r="F23" s="20"/>
      <c r="G23" s="21">
        <v>956</v>
      </c>
      <c r="H23" s="1"/>
      <c r="I23" s="9" t="s">
        <v>23</v>
      </c>
      <c r="J23" s="11"/>
      <c r="K23" s="25"/>
      <c r="L23" s="21">
        <v>956</v>
      </c>
      <c r="M23" s="26"/>
      <c r="N23" s="27">
        <f t="shared" si="0"/>
        <v>956</v>
      </c>
      <c r="O23" s="28"/>
      <c r="P23" s="69">
        <f t="shared" ref="P23:P38" si="1">ROUNDDOWN($K23/110*10,0)</f>
        <v>0</v>
      </c>
      <c r="Q23" s="70">
        <f t="shared" ref="Q23:Q38" si="2">ROUNDDOWN($L23/108*8,0)</f>
        <v>70</v>
      </c>
      <c r="R23" s="27">
        <f t="shared" ref="R23:R38" si="3">P23+Q23</f>
        <v>70</v>
      </c>
    </row>
    <row r="24" spans="1:18" x14ac:dyDescent="0.4">
      <c r="A24" s="3" t="s">
        <v>46</v>
      </c>
      <c r="B24" s="4">
        <v>45440</v>
      </c>
      <c r="C24" s="5" t="s">
        <v>4</v>
      </c>
      <c r="D24" s="95" t="s">
        <v>14</v>
      </c>
      <c r="E24" s="96"/>
      <c r="F24" s="22"/>
      <c r="G24" s="22">
        <v>990</v>
      </c>
      <c r="I24" s="9" t="s">
        <v>23</v>
      </c>
      <c r="J24" s="11"/>
      <c r="K24" s="25"/>
      <c r="L24" s="21">
        <v>990</v>
      </c>
      <c r="M24" s="26"/>
      <c r="N24" s="27">
        <f t="shared" si="0"/>
        <v>990</v>
      </c>
      <c r="O24" s="28"/>
      <c r="P24" s="69">
        <f t="shared" si="1"/>
        <v>0</v>
      </c>
      <c r="Q24" s="70">
        <f t="shared" si="2"/>
        <v>73</v>
      </c>
      <c r="R24" s="27">
        <f t="shared" si="3"/>
        <v>73</v>
      </c>
    </row>
    <row r="25" spans="1:18" x14ac:dyDescent="0.4">
      <c r="A25" s="3" t="s">
        <v>46</v>
      </c>
      <c r="B25" s="4">
        <v>45441</v>
      </c>
      <c r="C25" s="5" t="s">
        <v>4</v>
      </c>
      <c r="D25" s="95" t="s">
        <v>14</v>
      </c>
      <c r="E25" s="96"/>
      <c r="F25" s="22"/>
      <c r="G25" s="22">
        <v>959</v>
      </c>
      <c r="I25" s="9" t="s">
        <v>23</v>
      </c>
      <c r="J25" s="11"/>
      <c r="K25" s="25"/>
      <c r="L25" s="21">
        <v>959</v>
      </c>
      <c r="M25" s="26"/>
      <c r="N25" s="27">
        <f t="shared" si="0"/>
        <v>959</v>
      </c>
      <c r="O25" s="28"/>
      <c r="P25" s="69">
        <f t="shared" si="1"/>
        <v>0</v>
      </c>
      <c r="Q25" s="70">
        <f t="shared" si="2"/>
        <v>71</v>
      </c>
      <c r="R25" s="27">
        <f t="shared" si="3"/>
        <v>71</v>
      </c>
    </row>
    <row r="26" spans="1:18" x14ac:dyDescent="0.4">
      <c r="A26" s="3" t="s">
        <v>46</v>
      </c>
      <c r="B26" s="4">
        <v>45442</v>
      </c>
      <c r="C26" s="5" t="s">
        <v>4</v>
      </c>
      <c r="D26" s="95" t="s">
        <v>14</v>
      </c>
      <c r="E26" s="96"/>
      <c r="F26" s="22"/>
      <c r="G26" s="22">
        <v>946</v>
      </c>
      <c r="I26" s="9" t="s">
        <v>23</v>
      </c>
      <c r="J26" s="11"/>
      <c r="K26" s="25"/>
      <c r="L26" s="21">
        <v>946</v>
      </c>
      <c r="M26" s="26"/>
      <c r="N26" s="27">
        <f t="shared" si="0"/>
        <v>946</v>
      </c>
      <c r="O26" s="28"/>
      <c r="P26" s="69">
        <f t="shared" si="1"/>
        <v>0</v>
      </c>
      <c r="Q26" s="70">
        <f t="shared" si="2"/>
        <v>70</v>
      </c>
      <c r="R26" s="27">
        <f t="shared" si="3"/>
        <v>70</v>
      </c>
    </row>
    <row r="27" spans="1:18" x14ac:dyDescent="0.4">
      <c r="A27" s="3" t="s">
        <v>46</v>
      </c>
      <c r="B27" s="4">
        <v>45446</v>
      </c>
      <c r="C27" s="5" t="s">
        <v>4</v>
      </c>
      <c r="D27" s="95" t="s">
        <v>109</v>
      </c>
      <c r="E27" s="96"/>
      <c r="F27" s="22"/>
      <c r="G27" s="22">
        <v>5500</v>
      </c>
      <c r="I27" s="9" t="s">
        <v>23</v>
      </c>
      <c r="J27" s="11"/>
      <c r="K27" s="25"/>
      <c r="L27" s="21">
        <v>5500</v>
      </c>
      <c r="M27" s="26"/>
      <c r="N27" s="27">
        <f t="shared" si="0"/>
        <v>5500</v>
      </c>
      <c r="O27" s="28"/>
      <c r="P27" s="69">
        <f t="shared" si="1"/>
        <v>0</v>
      </c>
      <c r="Q27" s="70">
        <f t="shared" si="2"/>
        <v>407</v>
      </c>
      <c r="R27" s="27">
        <f t="shared" si="3"/>
        <v>407</v>
      </c>
    </row>
    <row r="28" spans="1:18" x14ac:dyDescent="0.4">
      <c r="A28" s="3" t="s">
        <v>110</v>
      </c>
      <c r="B28" s="4">
        <v>45446</v>
      </c>
      <c r="C28" s="5" t="s">
        <v>4</v>
      </c>
      <c r="D28" s="95" t="s">
        <v>14</v>
      </c>
      <c r="E28" s="96"/>
      <c r="F28" s="22"/>
      <c r="G28" s="22">
        <v>961</v>
      </c>
      <c r="I28" s="9" t="s">
        <v>23</v>
      </c>
      <c r="J28" s="11"/>
      <c r="K28" s="25"/>
      <c r="L28" s="21">
        <v>961</v>
      </c>
      <c r="M28" s="26"/>
      <c r="N28" s="27">
        <f t="shared" si="0"/>
        <v>961</v>
      </c>
      <c r="O28" s="28"/>
      <c r="P28" s="69">
        <f t="shared" si="1"/>
        <v>0</v>
      </c>
      <c r="Q28" s="70">
        <f t="shared" si="2"/>
        <v>71</v>
      </c>
      <c r="R28" s="27">
        <f t="shared" si="3"/>
        <v>71</v>
      </c>
    </row>
    <row r="29" spans="1:18" x14ac:dyDescent="0.4">
      <c r="A29" s="3" t="s">
        <v>110</v>
      </c>
      <c r="B29" s="4">
        <v>45446</v>
      </c>
      <c r="C29" s="5" t="s">
        <v>40</v>
      </c>
      <c r="D29" s="95" t="s">
        <v>111</v>
      </c>
      <c r="E29" s="96"/>
      <c r="F29" s="22"/>
      <c r="G29" s="22">
        <v>4286</v>
      </c>
      <c r="I29" s="9" t="s">
        <v>23</v>
      </c>
      <c r="J29" s="11"/>
      <c r="K29" s="25">
        <v>4286</v>
      </c>
      <c r="L29" s="21"/>
      <c r="M29" s="26"/>
      <c r="N29" s="27">
        <f t="shared" si="0"/>
        <v>4286</v>
      </c>
      <c r="O29" s="28"/>
      <c r="P29" s="69">
        <f t="shared" si="1"/>
        <v>389</v>
      </c>
      <c r="Q29" s="70">
        <f t="shared" si="2"/>
        <v>0</v>
      </c>
      <c r="R29" s="27">
        <f t="shared" si="3"/>
        <v>389</v>
      </c>
    </row>
    <row r="30" spans="1:18" x14ac:dyDescent="0.4">
      <c r="A30" s="3" t="s">
        <v>110</v>
      </c>
      <c r="B30" s="4">
        <v>45446</v>
      </c>
      <c r="C30" s="5" t="s">
        <v>40</v>
      </c>
      <c r="D30" s="95" t="s">
        <v>112</v>
      </c>
      <c r="E30" s="96"/>
      <c r="F30" s="22"/>
      <c r="G30" s="22">
        <v>14348</v>
      </c>
      <c r="I30" s="9" t="s">
        <v>23</v>
      </c>
      <c r="J30" s="11"/>
      <c r="K30" s="25">
        <v>14348</v>
      </c>
      <c r="L30" s="21"/>
      <c r="M30" s="26"/>
      <c r="N30" s="27">
        <f t="shared" si="0"/>
        <v>14348</v>
      </c>
      <c r="O30" s="28"/>
      <c r="P30" s="69">
        <f t="shared" si="1"/>
        <v>1304</v>
      </c>
      <c r="Q30" s="70">
        <f t="shared" si="2"/>
        <v>0</v>
      </c>
      <c r="R30" s="27">
        <f t="shared" si="3"/>
        <v>1304</v>
      </c>
    </row>
    <row r="31" spans="1:18" x14ac:dyDescent="0.4">
      <c r="A31" s="3" t="s">
        <v>110</v>
      </c>
      <c r="B31" s="4">
        <v>45446</v>
      </c>
      <c r="C31" s="5" t="s">
        <v>4</v>
      </c>
      <c r="D31" s="95" t="s">
        <v>41</v>
      </c>
      <c r="E31" s="96"/>
      <c r="F31" s="22"/>
      <c r="G31" s="22">
        <v>6146</v>
      </c>
      <c r="I31" s="9" t="s">
        <v>23</v>
      </c>
      <c r="J31" s="11"/>
      <c r="K31" s="25">
        <v>6146</v>
      </c>
      <c r="L31" s="21"/>
      <c r="M31" s="26"/>
      <c r="N31" s="27">
        <f t="shared" si="0"/>
        <v>6146</v>
      </c>
      <c r="O31" s="28"/>
      <c r="P31" s="69">
        <f t="shared" si="1"/>
        <v>558</v>
      </c>
      <c r="Q31" s="70">
        <f t="shared" si="2"/>
        <v>0</v>
      </c>
      <c r="R31" s="27">
        <f t="shared" si="3"/>
        <v>558</v>
      </c>
    </row>
    <row r="32" spans="1:18" x14ac:dyDescent="0.4">
      <c r="A32" s="3" t="s">
        <v>110</v>
      </c>
      <c r="B32" s="4">
        <v>45446</v>
      </c>
      <c r="C32" s="5" t="s">
        <v>40</v>
      </c>
      <c r="D32" s="95" t="s">
        <v>112</v>
      </c>
      <c r="E32" s="96"/>
      <c r="F32" s="22"/>
      <c r="G32" s="22">
        <v>364</v>
      </c>
      <c r="I32" s="9" t="s">
        <v>23</v>
      </c>
      <c r="J32" s="11"/>
      <c r="K32" s="25">
        <v>364</v>
      </c>
      <c r="L32" s="21"/>
      <c r="M32" s="26"/>
      <c r="N32" s="27">
        <f t="shared" si="0"/>
        <v>364</v>
      </c>
      <c r="O32" s="28"/>
      <c r="P32" s="69">
        <f t="shared" si="1"/>
        <v>33</v>
      </c>
      <c r="Q32" s="70">
        <f t="shared" si="2"/>
        <v>0</v>
      </c>
      <c r="R32" s="27">
        <f t="shared" si="3"/>
        <v>33</v>
      </c>
    </row>
    <row r="33" spans="1:18" x14ac:dyDescent="0.4">
      <c r="A33" s="3" t="s">
        <v>110</v>
      </c>
      <c r="B33" s="4">
        <v>45447</v>
      </c>
      <c r="C33" s="5" t="s">
        <v>4</v>
      </c>
      <c r="D33" s="95" t="s">
        <v>14</v>
      </c>
      <c r="E33" s="96"/>
      <c r="F33" s="22"/>
      <c r="G33" s="22">
        <v>960</v>
      </c>
      <c r="I33" s="9" t="s">
        <v>23</v>
      </c>
      <c r="J33" s="11"/>
      <c r="K33" s="25"/>
      <c r="L33" s="21">
        <v>960</v>
      </c>
      <c r="M33" s="29"/>
      <c r="N33" s="27">
        <f t="shared" si="0"/>
        <v>960</v>
      </c>
      <c r="O33" s="28"/>
      <c r="P33" s="69">
        <f t="shared" si="1"/>
        <v>0</v>
      </c>
      <c r="Q33" s="70">
        <f t="shared" si="2"/>
        <v>71</v>
      </c>
      <c r="R33" s="27">
        <f t="shared" si="3"/>
        <v>71</v>
      </c>
    </row>
    <row r="34" spans="1:18" x14ac:dyDescent="0.4">
      <c r="A34" s="3" t="s">
        <v>110</v>
      </c>
      <c r="B34" s="4">
        <v>45447</v>
      </c>
      <c r="C34" s="5" t="s">
        <v>40</v>
      </c>
      <c r="D34" s="95" t="s">
        <v>112</v>
      </c>
      <c r="E34" s="96"/>
      <c r="F34" s="22"/>
      <c r="G34" s="22">
        <v>9998</v>
      </c>
      <c r="I34" s="9" t="s">
        <v>23</v>
      </c>
      <c r="J34" s="11"/>
      <c r="K34" s="25">
        <v>9998</v>
      </c>
      <c r="L34" s="21"/>
      <c r="M34" s="26"/>
      <c r="N34" s="27">
        <f t="shared" si="0"/>
        <v>9998</v>
      </c>
      <c r="O34" s="28"/>
      <c r="P34" s="69">
        <f t="shared" si="1"/>
        <v>908</v>
      </c>
      <c r="Q34" s="70">
        <f t="shared" si="2"/>
        <v>0</v>
      </c>
      <c r="R34" s="27">
        <f t="shared" si="3"/>
        <v>908</v>
      </c>
    </row>
    <row r="35" spans="1:18" x14ac:dyDescent="0.4">
      <c r="A35" s="3" t="s">
        <v>110</v>
      </c>
      <c r="B35" s="4">
        <v>45448</v>
      </c>
      <c r="C35" s="5" t="s">
        <v>4</v>
      </c>
      <c r="D35" s="95" t="s">
        <v>14</v>
      </c>
      <c r="E35" s="96"/>
      <c r="F35" s="22"/>
      <c r="G35" s="22">
        <v>953</v>
      </c>
      <c r="I35" s="9" t="s">
        <v>23</v>
      </c>
      <c r="J35" s="11"/>
      <c r="K35" s="25"/>
      <c r="L35" s="21">
        <v>953</v>
      </c>
      <c r="M35" s="26"/>
      <c r="N35" s="27">
        <f t="shared" si="0"/>
        <v>953</v>
      </c>
      <c r="O35" s="28"/>
      <c r="P35" s="69">
        <f t="shared" si="1"/>
        <v>0</v>
      </c>
      <c r="Q35" s="70">
        <f t="shared" si="2"/>
        <v>70</v>
      </c>
      <c r="R35" s="27">
        <f t="shared" si="3"/>
        <v>70</v>
      </c>
    </row>
    <row r="36" spans="1:18" x14ac:dyDescent="0.4">
      <c r="A36" s="3" t="s">
        <v>110</v>
      </c>
      <c r="B36" s="4">
        <v>45448</v>
      </c>
      <c r="C36" s="5" t="s">
        <v>4</v>
      </c>
      <c r="D36" s="95" t="s">
        <v>41</v>
      </c>
      <c r="E36" s="96"/>
      <c r="F36" s="22"/>
      <c r="G36" s="22">
        <v>2000</v>
      </c>
      <c r="I36" s="9" t="s">
        <v>23</v>
      </c>
      <c r="J36" s="11"/>
      <c r="K36" s="25">
        <v>2000</v>
      </c>
      <c r="L36" s="21"/>
      <c r="M36" s="26"/>
      <c r="N36" s="27">
        <f t="shared" si="0"/>
        <v>2000</v>
      </c>
      <c r="O36" s="28"/>
      <c r="P36" s="69">
        <f t="shared" si="1"/>
        <v>181</v>
      </c>
      <c r="Q36" s="70">
        <f t="shared" si="2"/>
        <v>0</v>
      </c>
      <c r="R36" s="27">
        <f t="shared" si="3"/>
        <v>181</v>
      </c>
    </row>
    <row r="37" spans="1:18" x14ac:dyDescent="0.4">
      <c r="A37" s="3" t="s">
        <v>110</v>
      </c>
      <c r="B37" s="4">
        <v>45448</v>
      </c>
      <c r="C37" s="5" t="s">
        <v>40</v>
      </c>
      <c r="D37" s="95" t="s">
        <v>112</v>
      </c>
      <c r="E37" s="96"/>
      <c r="F37" s="22"/>
      <c r="G37" s="22">
        <v>7026</v>
      </c>
      <c r="I37" s="9" t="s">
        <v>23</v>
      </c>
      <c r="J37" s="11"/>
      <c r="K37" s="25">
        <v>7026</v>
      </c>
      <c r="L37" s="21"/>
      <c r="M37" s="26"/>
      <c r="N37" s="27">
        <f t="shared" si="0"/>
        <v>7026</v>
      </c>
      <c r="O37" s="28"/>
      <c r="P37" s="69">
        <f t="shared" si="1"/>
        <v>638</v>
      </c>
      <c r="Q37" s="70">
        <f t="shared" si="2"/>
        <v>0</v>
      </c>
      <c r="R37" s="27">
        <f t="shared" si="3"/>
        <v>638</v>
      </c>
    </row>
    <row r="38" spans="1:18" x14ac:dyDescent="0.4">
      <c r="A38" s="3" t="s">
        <v>110</v>
      </c>
      <c r="B38" s="4">
        <v>45449</v>
      </c>
      <c r="C38" s="5" t="s">
        <v>4</v>
      </c>
      <c r="D38" s="95" t="s">
        <v>14</v>
      </c>
      <c r="E38" s="96"/>
      <c r="F38" s="22"/>
      <c r="G38" s="22">
        <v>958</v>
      </c>
      <c r="I38" s="9" t="s">
        <v>23</v>
      </c>
      <c r="J38" s="11"/>
      <c r="K38" s="25"/>
      <c r="L38" s="21">
        <v>958</v>
      </c>
      <c r="M38" s="26"/>
      <c r="N38" s="27">
        <f t="shared" si="0"/>
        <v>958</v>
      </c>
      <c r="O38" s="28"/>
      <c r="P38" s="69">
        <f t="shared" si="1"/>
        <v>0</v>
      </c>
      <c r="Q38" s="70">
        <f t="shared" si="2"/>
        <v>70</v>
      </c>
      <c r="R38" s="27">
        <f t="shared" si="3"/>
        <v>70</v>
      </c>
    </row>
    <row r="39" spans="1:18" x14ac:dyDescent="0.4">
      <c r="A39" s="54"/>
      <c r="B39" s="55"/>
      <c r="C39" s="56"/>
      <c r="D39" s="93"/>
      <c r="E39" s="94"/>
      <c r="F39" s="57"/>
      <c r="G39" s="57"/>
      <c r="H39" s="65"/>
      <c r="I39" s="59"/>
      <c r="J39" s="60"/>
      <c r="K39" s="61"/>
      <c r="L39" s="62"/>
      <c r="M39" s="63"/>
      <c r="N39" s="64" t="str">
        <f t="shared" si="0"/>
        <v/>
      </c>
    </row>
    <row r="40" spans="1:18" x14ac:dyDescent="0.4">
      <c r="A40" s="54"/>
      <c r="B40" s="55"/>
      <c r="C40" s="56"/>
      <c r="D40" s="93" t="s">
        <v>115</v>
      </c>
      <c r="E40" s="94"/>
      <c r="F40" s="57"/>
      <c r="G40" s="57"/>
      <c r="H40" s="65"/>
      <c r="I40" s="59"/>
      <c r="J40" s="60"/>
      <c r="K40" s="61"/>
      <c r="L40" s="62"/>
      <c r="M40" s="63"/>
      <c r="N40" s="64" t="str">
        <f t="shared" si="0"/>
        <v/>
      </c>
    </row>
    <row r="41" spans="1:18" x14ac:dyDescent="0.4">
      <c r="A41" s="3" t="s">
        <v>46</v>
      </c>
      <c r="B41" s="4">
        <v>45397</v>
      </c>
      <c r="C41" s="5" t="s">
        <v>4</v>
      </c>
      <c r="D41" s="95" t="s">
        <v>114</v>
      </c>
      <c r="E41" s="96"/>
      <c r="F41" s="20">
        <v>1940</v>
      </c>
      <c r="G41" s="21"/>
      <c r="H41" s="1"/>
      <c r="I41" s="9" t="s">
        <v>23</v>
      </c>
      <c r="J41" s="11"/>
      <c r="K41" s="25">
        <v>-1940</v>
      </c>
      <c r="L41" s="21"/>
      <c r="M41" s="26"/>
      <c r="N41" s="27">
        <f t="shared" si="0"/>
        <v>-1940</v>
      </c>
      <c r="O41" s="28"/>
      <c r="P41" s="69">
        <f t="shared" ref="P41:P42" si="4">ROUNDDOWN($K41/110*10,0)</f>
        <v>-176</v>
      </c>
      <c r="Q41" s="70">
        <f t="shared" ref="Q41:Q42" si="5">ROUNDDOWN($L41/108*8,0)</f>
        <v>0</v>
      </c>
      <c r="R41" s="27">
        <f t="shared" ref="R41:R42" si="6">P41+Q41</f>
        <v>-176</v>
      </c>
    </row>
    <row r="42" spans="1:18" x14ac:dyDescent="0.4">
      <c r="A42" s="3" t="s">
        <v>46</v>
      </c>
      <c r="B42" s="4">
        <v>45397</v>
      </c>
      <c r="C42" s="5" t="s">
        <v>4</v>
      </c>
      <c r="D42" s="95" t="s">
        <v>114</v>
      </c>
      <c r="E42" s="96"/>
      <c r="F42" s="22">
        <v>2890</v>
      </c>
      <c r="G42" s="22"/>
      <c r="I42" s="9" t="s">
        <v>23</v>
      </c>
      <c r="J42" s="11"/>
      <c r="K42" s="25">
        <v>-2890</v>
      </c>
      <c r="L42" s="21"/>
      <c r="M42" s="26"/>
      <c r="N42" s="27">
        <f t="shared" si="0"/>
        <v>-2890</v>
      </c>
      <c r="O42" s="28"/>
      <c r="P42" s="69">
        <f t="shared" si="4"/>
        <v>-262</v>
      </c>
      <c r="Q42" s="70">
        <f t="shared" si="5"/>
        <v>0</v>
      </c>
      <c r="R42" s="27">
        <f t="shared" si="6"/>
        <v>-262</v>
      </c>
    </row>
    <row r="43" spans="1:18" x14ac:dyDescent="0.4">
      <c r="A43" s="54"/>
      <c r="B43" s="55"/>
      <c r="C43" s="56"/>
      <c r="D43" s="93"/>
      <c r="E43" s="94"/>
      <c r="F43" s="57"/>
      <c r="G43" s="57"/>
      <c r="H43" s="65"/>
      <c r="I43" s="59"/>
      <c r="J43" s="60"/>
      <c r="K43" s="61"/>
      <c r="L43" s="62"/>
      <c r="M43" s="63"/>
      <c r="N43" s="64" t="str">
        <f t="shared" si="0"/>
        <v/>
      </c>
    </row>
    <row r="44" spans="1:18" x14ac:dyDescent="0.4">
      <c r="A44" s="54"/>
      <c r="B44" s="55"/>
      <c r="C44" s="56"/>
      <c r="D44" s="93" t="s">
        <v>130</v>
      </c>
      <c r="E44" s="97"/>
      <c r="F44" s="57"/>
      <c r="G44" s="57"/>
      <c r="H44" s="65"/>
      <c r="I44" s="59"/>
      <c r="J44" s="60"/>
      <c r="K44" s="61"/>
      <c r="L44" s="62"/>
      <c r="M44" s="63"/>
      <c r="N44" s="64" t="str">
        <f t="shared" si="0"/>
        <v/>
      </c>
    </row>
    <row r="45" spans="1:18" x14ac:dyDescent="0.4">
      <c r="A45" s="3"/>
      <c r="B45" s="4">
        <v>45432</v>
      </c>
      <c r="C45" s="5" t="s">
        <v>4</v>
      </c>
      <c r="D45" s="95" t="s">
        <v>116</v>
      </c>
      <c r="E45" s="96"/>
      <c r="F45" s="20"/>
      <c r="G45" s="21">
        <v>560</v>
      </c>
      <c r="H45" s="1"/>
      <c r="I45" s="9" t="s">
        <v>23</v>
      </c>
      <c r="J45" s="11"/>
      <c r="K45" s="25">
        <v>560</v>
      </c>
      <c r="L45" s="21"/>
      <c r="M45" s="26"/>
      <c r="N45" s="27">
        <f t="shared" si="0"/>
        <v>560</v>
      </c>
      <c r="O45" s="28"/>
      <c r="P45" s="69">
        <f t="shared" ref="P45:P70" si="7">ROUNDDOWN($K45/110*10,0)</f>
        <v>50</v>
      </c>
      <c r="Q45" s="70">
        <f t="shared" ref="Q45:Q70" si="8">ROUNDDOWN($L45/108*8,0)</f>
        <v>0</v>
      </c>
      <c r="R45" s="27">
        <f t="shared" ref="R45:R70" si="9">P45+Q45</f>
        <v>50</v>
      </c>
    </row>
    <row r="46" spans="1:18" x14ac:dyDescent="0.4">
      <c r="A46" s="3"/>
      <c r="B46" s="4">
        <v>45432</v>
      </c>
      <c r="C46" s="5" t="s">
        <v>4</v>
      </c>
      <c r="D46" s="95" t="s">
        <v>117</v>
      </c>
      <c r="E46" s="96"/>
      <c r="F46" s="22"/>
      <c r="G46" s="22">
        <v>800</v>
      </c>
      <c r="I46" s="9" t="s">
        <v>23</v>
      </c>
      <c r="J46" s="11"/>
      <c r="K46" s="22">
        <v>800</v>
      </c>
      <c r="L46" s="21"/>
      <c r="M46" s="26"/>
      <c r="N46" s="27">
        <f t="shared" si="0"/>
        <v>800</v>
      </c>
      <c r="O46" s="28"/>
      <c r="P46" s="69">
        <f t="shared" si="7"/>
        <v>72</v>
      </c>
      <c r="Q46" s="70">
        <f t="shared" si="8"/>
        <v>0</v>
      </c>
      <c r="R46" s="27">
        <f t="shared" si="9"/>
        <v>72</v>
      </c>
    </row>
    <row r="47" spans="1:18" x14ac:dyDescent="0.4">
      <c r="A47" s="3"/>
      <c r="B47" s="4">
        <v>45432</v>
      </c>
      <c r="C47" s="5" t="s">
        <v>4</v>
      </c>
      <c r="D47" s="95" t="s">
        <v>118</v>
      </c>
      <c r="E47" s="96"/>
      <c r="F47" s="22"/>
      <c r="G47" s="22">
        <v>1020</v>
      </c>
      <c r="I47" s="9" t="s">
        <v>23</v>
      </c>
      <c r="J47" s="11"/>
      <c r="K47" s="25">
        <v>1020</v>
      </c>
      <c r="L47" s="21"/>
      <c r="M47" s="26"/>
      <c r="N47" s="27">
        <f t="shared" si="0"/>
        <v>1020</v>
      </c>
      <c r="O47" s="28"/>
      <c r="P47" s="69">
        <f t="shared" si="7"/>
        <v>92</v>
      </c>
      <c r="Q47" s="70">
        <f t="shared" si="8"/>
        <v>0</v>
      </c>
      <c r="R47" s="27">
        <f t="shared" si="9"/>
        <v>92</v>
      </c>
    </row>
    <row r="48" spans="1:18" x14ac:dyDescent="0.4">
      <c r="A48" s="3" t="s">
        <v>119</v>
      </c>
      <c r="B48" s="4">
        <v>45432</v>
      </c>
      <c r="C48" s="5" t="s">
        <v>40</v>
      </c>
      <c r="D48" s="95" t="s">
        <v>120</v>
      </c>
      <c r="E48" s="96"/>
      <c r="F48" s="22"/>
      <c r="G48" s="22">
        <v>4766</v>
      </c>
      <c r="I48" s="9" t="s">
        <v>23</v>
      </c>
      <c r="J48" s="11"/>
      <c r="K48" s="25">
        <v>4766</v>
      </c>
      <c r="L48" s="21"/>
      <c r="M48" s="26"/>
      <c r="N48" s="27">
        <f t="shared" si="0"/>
        <v>4766</v>
      </c>
      <c r="O48" s="28"/>
      <c r="P48" s="69">
        <f t="shared" si="7"/>
        <v>433</v>
      </c>
      <c r="Q48" s="70">
        <f t="shared" si="8"/>
        <v>0</v>
      </c>
      <c r="R48" s="27">
        <f t="shared" si="9"/>
        <v>433</v>
      </c>
    </row>
    <row r="49" spans="1:18" x14ac:dyDescent="0.4">
      <c r="A49" s="3"/>
      <c r="B49" s="4">
        <v>45432</v>
      </c>
      <c r="C49" s="5" t="s">
        <v>4</v>
      </c>
      <c r="D49" s="95" t="s">
        <v>52</v>
      </c>
      <c r="E49" s="96"/>
      <c r="F49" s="22"/>
      <c r="G49" s="22">
        <v>1707</v>
      </c>
      <c r="I49" s="9" t="s">
        <v>23</v>
      </c>
      <c r="J49" s="11"/>
      <c r="K49" s="25"/>
      <c r="L49" s="21">
        <v>1707</v>
      </c>
      <c r="M49" s="26"/>
      <c r="N49" s="27">
        <f t="shared" si="0"/>
        <v>1707</v>
      </c>
      <c r="O49" s="28"/>
      <c r="P49" s="69">
        <f t="shared" si="7"/>
        <v>0</v>
      </c>
      <c r="Q49" s="70">
        <f t="shared" si="8"/>
        <v>126</v>
      </c>
      <c r="R49" s="27">
        <f t="shared" si="9"/>
        <v>126</v>
      </c>
    </row>
    <row r="50" spans="1:18" x14ac:dyDescent="0.4">
      <c r="A50" s="3"/>
      <c r="B50" s="4">
        <v>45433</v>
      </c>
      <c r="C50" s="5" t="s">
        <v>4</v>
      </c>
      <c r="D50" s="95" t="s">
        <v>121</v>
      </c>
      <c r="E50" s="96"/>
      <c r="F50" s="22"/>
      <c r="G50" s="22">
        <v>1020</v>
      </c>
      <c r="I50" s="9" t="s">
        <v>23</v>
      </c>
      <c r="J50" s="11"/>
      <c r="K50" s="25">
        <v>1020</v>
      </c>
      <c r="L50" s="21"/>
      <c r="M50" s="26"/>
      <c r="N50" s="27">
        <f t="shared" si="0"/>
        <v>1020</v>
      </c>
      <c r="O50" s="28"/>
      <c r="P50" s="69">
        <f t="shared" si="7"/>
        <v>92</v>
      </c>
      <c r="Q50" s="70">
        <f t="shared" si="8"/>
        <v>0</v>
      </c>
      <c r="R50" s="27">
        <f t="shared" si="9"/>
        <v>92</v>
      </c>
    </row>
    <row r="51" spans="1:18" x14ac:dyDescent="0.4">
      <c r="A51" s="3"/>
      <c r="B51" s="4">
        <v>45433</v>
      </c>
      <c r="C51" s="5" t="s">
        <v>4</v>
      </c>
      <c r="D51" s="95" t="s">
        <v>122</v>
      </c>
      <c r="E51" s="96"/>
      <c r="F51" s="22"/>
      <c r="G51" s="22">
        <v>800</v>
      </c>
      <c r="I51" s="9" t="s">
        <v>23</v>
      </c>
      <c r="J51" s="11"/>
      <c r="K51" s="25">
        <v>800</v>
      </c>
      <c r="L51" s="21"/>
      <c r="M51" s="26"/>
      <c r="N51" s="27">
        <f t="shared" si="0"/>
        <v>800</v>
      </c>
      <c r="O51" s="28"/>
      <c r="P51" s="69">
        <f t="shared" si="7"/>
        <v>72</v>
      </c>
      <c r="Q51" s="70">
        <f t="shared" si="8"/>
        <v>0</v>
      </c>
      <c r="R51" s="27">
        <f t="shared" si="9"/>
        <v>72</v>
      </c>
    </row>
    <row r="52" spans="1:18" x14ac:dyDescent="0.4">
      <c r="A52" s="3"/>
      <c r="B52" s="4">
        <v>45433</v>
      </c>
      <c r="C52" s="5" t="s">
        <v>4</v>
      </c>
      <c r="D52" s="95" t="s">
        <v>123</v>
      </c>
      <c r="E52" s="96"/>
      <c r="F52" s="22"/>
      <c r="G52" s="22">
        <v>560</v>
      </c>
      <c r="I52" s="9" t="s">
        <v>23</v>
      </c>
      <c r="J52" s="11"/>
      <c r="K52" s="25">
        <v>560</v>
      </c>
      <c r="L52" s="21"/>
      <c r="M52" s="26"/>
      <c r="N52" s="27">
        <f t="shared" si="0"/>
        <v>560</v>
      </c>
      <c r="O52" s="28"/>
      <c r="P52" s="69">
        <f t="shared" si="7"/>
        <v>50</v>
      </c>
      <c r="Q52" s="70">
        <f t="shared" si="8"/>
        <v>0</v>
      </c>
      <c r="R52" s="27">
        <f t="shared" si="9"/>
        <v>50</v>
      </c>
    </row>
    <row r="53" spans="1:18" x14ac:dyDescent="0.4">
      <c r="A53" s="3"/>
      <c r="B53" s="4">
        <v>45433</v>
      </c>
      <c r="C53" s="5" t="s">
        <v>4</v>
      </c>
      <c r="D53" s="95" t="s">
        <v>116</v>
      </c>
      <c r="E53" s="96"/>
      <c r="F53" s="22"/>
      <c r="G53" s="22">
        <v>560</v>
      </c>
      <c r="I53" s="9" t="s">
        <v>23</v>
      </c>
      <c r="J53" s="11"/>
      <c r="K53" s="25">
        <v>560</v>
      </c>
      <c r="L53" s="21"/>
      <c r="M53" s="26"/>
      <c r="N53" s="27">
        <f t="shared" si="0"/>
        <v>560</v>
      </c>
      <c r="O53" s="28"/>
      <c r="P53" s="69">
        <f t="shared" si="7"/>
        <v>50</v>
      </c>
      <c r="Q53" s="70">
        <f t="shared" si="8"/>
        <v>0</v>
      </c>
      <c r="R53" s="27">
        <f t="shared" si="9"/>
        <v>50</v>
      </c>
    </row>
    <row r="54" spans="1:18" x14ac:dyDescent="0.4">
      <c r="A54" s="3"/>
      <c r="B54" s="4">
        <v>45433</v>
      </c>
      <c r="C54" s="5" t="s">
        <v>4</v>
      </c>
      <c r="D54" s="95" t="s">
        <v>122</v>
      </c>
      <c r="E54" s="96"/>
      <c r="F54" s="22"/>
      <c r="G54" s="22">
        <v>800</v>
      </c>
      <c r="I54" s="9" t="s">
        <v>23</v>
      </c>
      <c r="J54" s="11"/>
      <c r="K54" s="25">
        <v>800</v>
      </c>
      <c r="L54" s="21"/>
      <c r="M54" s="26"/>
      <c r="N54" s="27">
        <f t="shared" si="0"/>
        <v>800</v>
      </c>
      <c r="O54" s="28"/>
      <c r="P54" s="69">
        <f t="shared" si="7"/>
        <v>72</v>
      </c>
      <c r="Q54" s="70">
        <f t="shared" si="8"/>
        <v>0</v>
      </c>
      <c r="R54" s="27">
        <f t="shared" si="9"/>
        <v>72</v>
      </c>
    </row>
    <row r="55" spans="1:18" x14ac:dyDescent="0.4">
      <c r="A55" s="3"/>
      <c r="B55" s="4">
        <v>45433</v>
      </c>
      <c r="C55" s="5" t="s">
        <v>4</v>
      </c>
      <c r="D55" s="95" t="s">
        <v>118</v>
      </c>
      <c r="E55" s="96"/>
      <c r="F55" s="22"/>
      <c r="G55" s="22">
        <v>1020</v>
      </c>
      <c r="I55" s="9" t="s">
        <v>23</v>
      </c>
      <c r="J55" s="11"/>
      <c r="K55" s="25">
        <v>1020</v>
      </c>
      <c r="L55" s="21"/>
      <c r="M55" s="29"/>
      <c r="N55" s="27">
        <f t="shared" si="0"/>
        <v>1020</v>
      </c>
      <c r="O55" s="28"/>
      <c r="P55" s="69">
        <f t="shared" si="7"/>
        <v>92</v>
      </c>
      <c r="Q55" s="70">
        <f t="shared" si="8"/>
        <v>0</v>
      </c>
      <c r="R55" s="27">
        <f t="shared" si="9"/>
        <v>92</v>
      </c>
    </row>
    <row r="56" spans="1:18" x14ac:dyDescent="0.4">
      <c r="A56" s="3" t="s">
        <v>119</v>
      </c>
      <c r="B56" s="4">
        <v>45433</v>
      </c>
      <c r="C56" s="5" t="s">
        <v>40</v>
      </c>
      <c r="D56" s="95" t="s">
        <v>124</v>
      </c>
      <c r="E56" s="96"/>
      <c r="F56" s="22"/>
      <c r="G56" s="22">
        <v>5314</v>
      </c>
      <c r="I56" s="9" t="s">
        <v>23</v>
      </c>
      <c r="J56" s="11"/>
      <c r="K56" s="25">
        <v>5314</v>
      </c>
      <c r="L56" s="21"/>
      <c r="M56" s="26"/>
      <c r="N56" s="27">
        <f t="shared" si="0"/>
        <v>5314</v>
      </c>
      <c r="O56" s="28"/>
      <c r="P56" s="69">
        <f t="shared" si="7"/>
        <v>483</v>
      </c>
      <c r="Q56" s="70">
        <f t="shared" si="8"/>
        <v>0</v>
      </c>
      <c r="R56" s="27">
        <f t="shared" si="9"/>
        <v>483</v>
      </c>
    </row>
    <row r="57" spans="1:18" x14ac:dyDescent="0.4">
      <c r="A57" s="3" t="s">
        <v>119</v>
      </c>
      <c r="B57" s="4">
        <v>45433</v>
      </c>
      <c r="C57" s="5" t="s">
        <v>40</v>
      </c>
      <c r="D57" s="95" t="s">
        <v>125</v>
      </c>
      <c r="E57" s="96"/>
      <c r="F57" s="22"/>
      <c r="G57" s="22">
        <v>848</v>
      </c>
      <c r="I57" s="9" t="s">
        <v>23</v>
      </c>
      <c r="J57" s="11"/>
      <c r="K57" s="25">
        <v>848</v>
      </c>
      <c r="L57" s="21"/>
      <c r="M57" s="26"/>
      <c r="N57" s="27">
        <f t="shared" si="0"/>
        <v>848</v>
      </c>
      <c r="O57" s="28"/>
      <c r="P57" s="69">
        <f t="shared" si="7"/>
        <v>77</v>
      </c>
      <c r="Q57" s="70">
        <f t="shared" si="8"/>
        <v>0</v>
      </c>
      <c r="R57" s="27">
        <f t="shared" si="9"/>
        <v>77</v>
      </c>
    </row>
    <row r="58" spans="1:18" x14ac:dyDescent="0.4">
      <c r="A58" s="3"/>
      <c r="B58" s="4">
        <v>45433</v>
      </c>
      <c r="C58" s="5" t="s">
        <v>4</v>
      </c>
      <c r="D58" s="95" t="s">
        <v>52</v>
      </c>
      <c r="E58" s="96"/>
      <c r="F58" s="22"/>
      <c r="G58" s="22">
        <v>1074</v>
      </c>
      <c r="I58" s="9" t="s">
        <v>23</v>
      </c>
      <c r="J58" s="11"/>
      <c r="K58" s="25"/>
      <c r="L58" s="21">
        <v>1074</v>
      </c>
      <c r="M58" s="26"/>
      <c r="N58" s="27">
        <f t="shared" si="0"/>
        <v>1074</v>
      </c>
      <c r="O58" s="28"/>
      <c r="P58" s="69">
        <f t="shared" si="7"/>
        <v>0</v>
      </c>
      <c r="Q58" s="70">
        <f t="shared" si="8"/>
        <v>79</v>
      </c>
      <c r="R58" s="27">
        <f t="shared" si="9"/>
        <v>79</v>
      </c>
    </row>
    <row r="59" spans="1:18" x14ac:dyDescent="0.4">
      <c r="A59" s="3" t="s">
        <v>119</v>
      </c>
      <c r="B59" s="4">
        <v>45434</v>
      </c>
      <c r="C59" s="5" t="s">
        <v>42</v>
      </c>
      <c r="D59" s="95" t="s">
        <v>126</v>
      </c>
      <c r="E59" s="96"/>
      <c r="F59" s="22"/>
      <c r="G59" s="22">
        <v>5148</v>
      </c>
      <c r="I59" s="9" t="s">
        <v>23</v>
      </c>
      <c r="J59" s="11"/>
      <c r="K59" s="25">
        <v>5148</v>
      </c>
      <c r="L59" s="21"/>
      <c r="M59" s="26"/>
      <c r="N59" s="27">
        <f t="shared" si="0"/>
        <v>5148</v>
      </c>
      <c r="O59" s="28"/>
      <c r="P59" s="69">
        <f t="shared" si="7"/>
        <v>468</v>
      </c>
      <c r="Q59" s="70">
        <f t="shared" si="8"/>
        <v>0</v>
      </c>
      <c r="R59" s="27">
        <f t="shared" si="9"/>
        <v>468</v>
      </c>
    </row>
    <row r="60" spans="1:18" x14ac:dyDescent="0.4">
      <c r="A60" s="3" t="s">
        <v>119</v>
      </c>
      <c r="B60" s="4">
        <v>45435</v>
      </c>
      <c r="C60" s="5" t="s">
        <v>40</v>
      </c>
      <c r="D60" s="95" t="s">
        <v>127</v>
      </c>
      <c r="E60" s="96"/>
      <c r="F60" s="22"/>
      <c r="G60" s="22">
        <v>1947</v>
      </c>
      <c r="I60" s="9" t="s">
        <v>23</v>
      </c>
      <c r="J60" s="11"/>
      <c r="K60" s="25">
        <v>1947</v>
      </c>
      <c r="L60" s="21"/>
      <c r="M60" s="26"/>
      <c r="N60" s="27">
        <f t="shared" si="0"/>
        <v>1947</v>
      </c>
      <c r="O60" s="28"/>
      <c r="P60" s="69">
        <f t="shared" si="7"/>
        <v>177</v>
      </c>
      <c r="Q60" s="70">
        <f t="shared" si="8"/>
        <v>0</v>
      </c>
      <c r="R60" s="27">
        <f t="shared" si="9"/>
        <v>177</v>
      </c>
    </row>
    <row r="61" spans="1:18" x14ac:dyDescent="0.4">
      <c r="A61" s="3" t="s">
        <v>119</v>
      </c>
      <c r="B61" s="4">
        <v>45435</v>
      </c>
      <c r="C61" s="5" t="s">
        <v>40</v>
      </c>
      <c r="D61" s="95" t="s">
        <v>128</v>
      </c>
      <c r="E61" s="96"/>
      <c r="F61" s="22"/>
      <c r="G61" s="22">
        <v>5491</v>
      </c>
      <c r="I61" s="9" t="s">
        <v>23</v>
      </c>
      <c r="J61" s="11"/>
      <c r="K61" s="25">
        <v>5491</v>
      </c>
      <c r="L61" s="21"/>
      <c r="M61" s="26"/>
      <c r="N61" s="27">
        <f t="shared" si="0"/>
        <v>5491</v>
      </c>
      <c r="O61" s="28"/>
      <c r="P61" s="69">
        <f t="shared" si="7"/>
        <v>499</v>
      </c>
      <c r="Q61" s="70">
        <f t="shared" si="8"/>
        <v>0</v>
      </c>
      <c r="R61" s="27">
        <f t="shared" si="9"/>
        <v>499</v>
      </c>
    </row>
    <row r="62" spans="1:18" x14ac:dyDescent="0.4">
      <c r="A62" s="3"/>
      <c r="B62" s="4">
        <v>45435</v>
      </c>
      <c r="C62" s="5" t="s">
        <v>4</v>
      </c>
      <c r="D62" s="95" t="s">
        <v>121</v>
      </c>
      <c r="E62" s="96"/>
      <c r="F62" s="22"/>
      <c r="G62" s="22">
        <v>1020</v>
      </c>
      <c r="I62" s="9" t="s">
        <v>23</v>
      </c>
      <c r="J62" s="11"/>
      <c r="K62" s="25">
        <v>1020</v>
      </c>
      <c r="L62" s="21"/>
      <c r="M62" s="26"/>
      <c r="N62" s="27">
        <f t="shared" si="0"/>
        <v>1020</v>
      </c>
      <c r="O62" s="28"/>
      <c r="P62" s="69">
        <f t="shared" si="7"/>
        <v>92</v>
      </c>
      <c r="Q62" s="70">
        <f t="shared" si="8"/>
        <v>0</v>
      </c>
      <c r="R62" s="27">
        <f t="shared" si="9"/>
        <v>92</v>
      </c>
    </row>
    <row r="63" spans="1:18" x14ac:dyDescent="0.4">
      <c r="A63" s="3"/>
      <c r="B63" s="4">
        <v>45435</v>
      </c>
      <c r="C63" s="5" t="s">
        <v>4</v>
      </c>
      <c r="D63" s="95" t="s">
        <v>122</v>
      </c>
      <c r="E63" s="96"/>
      <c r="F63" s="22"/>
      <c r="G63" s="22">
        <v>800</v>
      </c>
      <c r="I63" s="9" t="s">
        <v>23</v>
      </c>
      <c r="J63" s="11"/>
      <c r="K63" s="25">
        <v>800</v>
      </c>
      <c r="L63" s="21"/>
      <c r="M63" s="26"/>
      <c r="N63" s="27">
        <f t="shared" si="0"/>
        <v>800</v>
      </c>
      <c r="O63" s="28"/>
      <c r="P63" s="69">
        <f t="shared" si="7"/>
        <v>72</v>
      </c>
      <c r="Q63" s="70">
        <f t="shared" si="8"/>
        <v>0</v>
      </c>
      <c r="R63" s="27">
        <f t="shared" si="9"/>
        <v>72</v>
      </c>
    </row>
    <row r="64" spans="1:18" x14ac:dyDescent="0.4">
      <c r="A64" s="3"/>
      <c r="B64" s="4">
        <v>45435</v>
      </c>
      <c r="C64" s="5" t="s">
        <v>4</v>
      </c>
      <c r="D64" s="95" t="s">
        <v>123</v>
      </c>
      <c r="E64" s="96"/>
      <c r="F64" s="22"/>
      <c r="G64" s="22">
        <v>560</v>
      </c>
      <c r="I64" s="9" t="s">
        <v>23</v>
      </c>
      <c r="J64" s="11"/>
      <c r="K64" s="25">
        <v>560</v>
      </c>
      <c r="L64" s="21"/>
      <c r="M64" s="26"/>
      <c r="N64" s="27">
        <f t="shared" si="0"/>
        <v>560</v>
      </c>
      <c r="O64" s="28"/>
      <c r="P64" s="69">
        <f t="shared" si="7"/>
        <v>50</v>
      </c>
      <c r="Q64" s="70">
        <f t="shared" si="8"/>
        <v>0</v>
      </c>
      <c r="R64" s="27">
        <f t="shared" si="9"/>
        <v>50</v>
      </c>
    </row>
    <row r="65" spans="1:18" x14ac:dyDescent="0.4">
      <c r="A65" s="3"/>
      <c r="B65" s="4">
        <v>45436</v>
      </c>
      <c r="C65" s="5" t="s">
        <v>4</v>
      </c>
      <c r="D65" s="95" t="s">
        <v>129</v>
      </c>
      <c r="E65" s="96"/>
      <c r="F65" s="22"/>
      <c r="G65" s="22">
        <v>560</v>
      </c>
      <c r="I65" s="9" t="s">
        <v>23</v>
      </c>
      <c r="J65" s="11"/>
      <c r="K65" s="25">
        <v>560</v>
      </c>
      <c r="L65" s="21"/>
      <c r="M65" s="26"/>
      <c r="N65" s="27">
        <f t="shared" si="0"/>
        <v>560</v>
      </c>
      <c r="O65" s="28"/>
      <c r="P65" s="69">
        <f t="shared" si="7"/>
        <v>50</v>
      </c>
      <c r="Q65" s="70">
        <f t="shared" si="8"/>
        <v>0</v>
      </c>
      <c r="R65" s="27">
        <f t="shared" si="9"/>
        <v>50</v>
      </c>
    </row>
    <row r="66" spans="1:18" x14ac:dyDescent="0.4">
      <c r="A66" s="3"/>
      <c r="B66" s="4">
        <v>45436</v>
      </c>
      <c r="C66" s="5" t="s">
        <v>4</v>
      </c>
      <c r="D66" s="95" t="s">
        <v>122</v>
      </c>
      <c r="E66" s="96"/>
      <c r="F66" s="22"/>
      <c r="G66" s="22">
        <v>800</v>
      </c>
      <c r="I66" s="9" t="s">
        <v>23</v>
      </c>
      <c r="J66" s="11"/>
      <c r="K66" s="25">
        <v>800</v>
      </c>
      <c r="L66" s="21"/>
      <c r="M66" s="26"/>
      <c r="N66" s="27">
        <f t="shared" si="0"/>
        <v>800</v>
      </c>
      <c r="O66" s="28"/>
      <c r="P66" s="69">
        <f t="shared" si="7"/>
        <v>72</v>
      </c>
      <c r="Q66" s="70">
        <f t="shared" si="8"/>
        <v>0</v>
      </c>
      <c r="R66" s="27">
        <f t="shared" si="9"/>
        <v>72</v>
      </c>
    </row>
    <row r="67" spans="1:18" x14ac:dyDescent="0.4">
      <c r="A67" s="3"/>
      <c r="B67" s="4">
        <v>45436</v>
      </c>
      <c r="C67" s="5" t="s">
        <v>4</v>
      </c>
      <c r="D67" s="95" t="s">
        <v>118</v>
      </c>
      <c r="E67" s="96"/>
      <c r="F67" s="22"/>
      <c r="G67" s="22">
        <v>1020</v>
      </c>
      <c r="I67" s="9" t="s">
        <v>23</v>
      </c>
      <c r="J67" s="11"/>
      <c r="K67" s="25">
        <v>1020</v>
      </c>
      <c r="L67" s="21"/>
      <c r="M67" s="26"/>
      <c r="N67" s="27">
        <f>IF(K67+L67+M67=0,"",K67+L67+M67)</f>
        <v>1020</v>
      </c>
      <c r="O67" s="28"/>
      <c r="P67" s="69">
        <f t="shared" si="7"/>
        <v>92</v>
      </c>
      <c r="Q67" s="70">
        <f t="shared" si="8"/>
        <v>0</v>
      </c>
      <c r="R67" s="27">
        <f t="shared" si="9"/>
        <v>92</v>
      </c>
    </row>
    <row r="68" spans="1:18" x14ac:dyDescent="0.4">
      <c r="A68" s="3"/>
      <c r="B68" s="4">
        <v>45436</v>
      </c>
      <c r="C68" s="5" t="s">
        <v>4</v>
      </c>
      <c r="D68" s="95" t="s">
        <v>121</v>
      </c>
      <c r="E68" s="96"/>
      <c r="F68" s="22"/>
      <c r="G68" s="22">
        <v>1020</v>
      </c>
      <c r="I68" s="9" t="s">
        <v>23</v>
      </c>
      <c r="J68" s="11"/>
      <c r="K68" s="25">
        <v>1020</v>
      </c>
      <c r="L68" s="21"/>
      <c r="M68" s="26"/>
      <c r="N68" s="27">
        <f t="shared" si="0"/>
        <v>1020</v>
      </c>
      <c r="O68" s="28"/>
      <c r="P68" s="69">
        <f t="shared" si="7"/>
        <v>92</v>
      </c>
      <c r="Q68" s="70">
        <f t="shared" si="8"/>
        <v>0</v>
      </c>
      <c r="R68" s="27">
        <f t="shared" si="9"/>
        <v>92</v>
      </c>
    </row>
    <row r="69" spans="1:18" x14ac:dyDescent="0.4">
      <c r="A69" s="3"/>
      <c r="B69" s="4">
        <v>45436</v>
      </c>
      <c r="C69" s="5" t="s">
        <v>4</v>
      </c>
      <c r="D69" s="95" t="s">
        <v>122</v>
      </c>
      <c r="E69" s="96"/>
      <c r="F69" s="22"/>
      <c r="G69" s="22">
        <v>800</v>
      </c>
      <c r="I69" s="9" t="s">
        <v>23</v>
      </c>
      <c r="J69" s="11"/>
      <c r="K69" s="25">
        <v>800</v>
      </c>
      <c r="L69" s="21"/>
      <c r="M69" s="26"/>
      <c r="N69" s="27">
        <f t="shared" si="0"/>
        <v>800</v>
      </c>
      <c r="O69" s="28"/>
      <c r="P69" s="69">
        <f t="shared" si="7"/>
        <v>72</v>
      </c>
      <c r="Q69" s="70">
        <f t="shared" si="8"/>
        <v>0</v>
      </c>
      <c r="R69" s="27">
        <f t="shared" si="9"/>
        <v>72</v>
      </c>
    </row>
    <row r="70" spans="1:18" x14ac:dyDescent="0.4">
      <c r="A70" s="3"/>
      <c r="B70" s="4">
        <v>45436</v>
      </c>
      <c r="C70" s="5" t="s">
        <v>4</v>
      </c>
      <c r="D70" s="95" t="s">
        <v>123</v>
      </c>
      <c r="E70" s="96"/>
      <c r="F70" s="22"/>
      <c r="G70" s="22">
        <v>560</v>
      </c>
      <c r="I70" s="9" t="s">
        <v>23</v>
      </c>
      <c r="J70" s="11"/>
      <c r="K70" s="25">
        <v>560</v>
      </c>
      <c r="L70" s="21"/>
      <c r="M70" s="26"/>
      <c r="N70" s="27">
        <f t="shared" si="0"/>
        <v>560</v>
      </c>
      <c r="O70" s="28"/>
      <c r="P70" s="69">
        <f t="shared" si="7"/>
        <v>50</v>
      </c>
      <c r="Q70" s="70">
        <f t="shared" si="8"/>
        <v>0</v>
      </c>
      <c r="R70" s="27">
        <f t="shared" si="9"/>
        <v>50</v>
      </c>
    </row>
    <row r="71" spans="1:18" x14ac:dyDescent="0.4">
      <c r="A71" s="54"/>
      <c r="B71" s="55"/>
      <c r="C71" s="56"/>
      <c r="D71" s="93"/>
      <c r="E71" s="94"/>
      <c r="F71" s="57"/>
      <c r="G71" s="57"/>
      <c r="H71" s="65"/>
      <c r="I71" s="59"/>
      <c r="J71" s="60"/>
      <c r="K71" s="61"/>
      <c r="L71" s="62"/>
      <c r="M71" s="63"/>
      <c r="N71" s="64" t="str">
        <f t="shared" si="0"/>
        <v/>
      </c>
    </row>
    <row r="72" spans="1:18" x14ac:dyDescent="0.4">
      <c r="A72" s="54"/>
      <c r="B72" s="55"/>
      <c r="C72" s="56"/>
      <c r="D72" s="93" t="s">
        <v>150</v>
      </c>
      <c r="E72" s="97"/>
      <c r="F72" s="57"/>
      <c r="G72" s="57"/>
      <c r="H72" s="65"/>
      <c r="I72" s="59"/>
      <c r="J72" s="60"/>
      <c r="K72" s="61"/>
      <c r="L72" s="62"/>
      <c r="M72" s="63"/>
      <c r="N72" s="64" t="str">
        <f t="shared" si="0"/>
        <v/>
      </c>
    </row>
    <row r="73" spans="1:18" x14ac:dyDescent="0.4">
      <c r="A73" s="54" t="s">
        <v>89</v>
      </c>
      <c r="B73" s="55">
        <v>45414</v>
      </c>
      <c r="C73" s="56" t="s">
        <v>42</v>
      </c>
      <c r="D73" s="93" t="s">
        <v>131</v>
      </c>
      <c r="E73" s="97"/>
      <c r="F73" s="57"/>
      <c r="G73" s="57">
        <v>1960</v>
      </c>
      <c r="H73" s="58"/>
      <c r="I73" s="73" t="s">
        <v>29</v>
      </c>
      <c r="J73" s="74"/>
      <c r="K73" s="75">
        <v>1960</v>
      </c>
      <c r="L73" s="67"/>
      <c r="M73" s="76"/>
      <c r="N73" s="64">
        <f t="shared" si="0"/>
        <v>1960</v>
      </c>
      <c r="O73" s="77"/>
      <c r="P73" s="78">
        <f t="shared" ref="P73:P101" si="10">ROUNDDOWN($K73/110*10,0)</f>
        <v>178</v>
      </c>
      <c r="Q73" s="79">
        <f t="shared" ref="Q73:Q101" si="11">ROUNDDOWN($L73/108*8,0)</f>
        <v>0</v>
      </c>
      <c r="R73" s="64">
        <f t="shared" ref="R73:R101" si="12">P73+Q73</f>
        <v>178</v>
      </c>
    </row>
    <row r="74" spans="1:18" x14ac:dyDescent="0.4">
      <c r="A74" s="54"/>
      <c r="B74" s="55"/>
      <c r="C74" s="56" t="s">
        <v>42</v>
      </c>
      <c r="D74" s="93" t="s">
        <v>132</v>
      </c>
      <c r="E74" s="94"/>
      <c r="F74" s="57"/>
      <c r="G74" s="57">
        <v>1889</v>
      </c>
      <c r="H74" s="65"/>
      <c r="I74" s="73" t="s">
        <v>29</v>
      </c>
      <c r="J74" s="74"/>
      <c r="K74" s="75">
        <v>1889</v>
      </c>
      <c r="L74" s="67"/>
      <c r="M74" s="76"/>
      <c r="N74" s="64">
        <f>IF(K74+L74+M74=0,"",K74+L74+M74)</f>
        <v>1889</v>
      </c>
      <c r="O74" s="77"/>
      <c r="P74" s="78">
        <f>ROUNDDOWN($K74/110*10,0)</f>
        <v>171</v>
      </c>
      <c r="Q74" s="79">
        <f>ROUNDDOWN($L74/108*8,0)</f>
        <v>0</v>
      </c>
      <c r="R74" s="64">
        <f>P74+Q74</f>
        <v>171</v>
      </c>
    </row>
    <row r="75" spans="1:18" x14ac:dyDescent="0.4">
      <c r="A75" s="54"/>
      <c r="B75" s="55"/>
      <c r="C75" s="56" t="s">
        <v>133</v>
      </c>
      <c r="D75" s="93" t="s">
        <v>134</v>
      </c>
      <c r="E75" s="94"/>
      <c r="F75" s="66"/>
      <c r="G75" s="67">
        <v>1251</v>
      </c>
      <c r="H75" s="65"/>
      <c r="I75" s="73" t="s">
        <v>29</v>
      </c>
      <c r="J75" s="74"/>
      <c r="K75" s="75">
        <v>1251</v>
      </c>
      <c r="L75" s="67"/>
      <c r="M75" s="76"/>
      <c r="N75" s="64">
        <f>IF(K75+L75+M75=0,"",K75+L75+M75)</f>
        <v>1251</v>
      </c>
      <c r="O75" s="77"/>
      <c r="P75" s="78">
        <f>ROUNDDOWN($K75/110*10,0)</f>
        <v>113</v>
      </c>
      <c r="Q75" s="79">
        <f>ROUNDDOWN($L75/108*8,0)</f>
        <v>0</v>
      </c>
      <c r="R75" s="64">
        <f>P75+Q75</f>
        <v>113</v>
      </c>
    </row>
    <row r="76" spans="1:18" x14ac:dyDescent="0.4">
      <c r="A76" s="54"/>
      <c r="B76" s="55">
        <v>45417</v>
      </c>
      <c r="C76" s="56" t="s">
        <v>4</v>
      </c>
      <c r="D76" s="93" t="s">
        <v>135</v>
      </c>
      <c r="E76" s="94"/>
      <c r="F76" s="57"/>
      <c r="G76" s="57">
        <v>7969</v>
      </c>
      <c r="H76" s="65"/>
      <c r="I76" s="73" t="s">
        <v>23</v>
      </c>
      <c r="J76" s="74"/>
      <c r="K76" s="75">
        <v>6046</v>
      </c>
      <c r="L76" s="67"/>
      <c r="M76" s="76">
        <v>1923</v>
      </c>
      <c r="N76" s="64">
        <f t="shared" si="0"/>
        <v>7969</v>
      </c>
      <c r="O76" s="77"/>
      <c r="P76" s="78">
        <f t="shared" si="10"/>
        <v>549</v>
      </c>
      <c r="Q76" s="79">
        <f t="shared" si="11"/>
        <v>0</v>
      </c>
      <c r="R76" s="64">
        <f t="shared" si="12"/>
        <v>549</v>
      </c>
    </row>
    <row r="77" spans="1:18" x14ac:dyDescent="0.4">
      <c r="A77" s="54"/>
      <c r="B77" s="55">
        <v>45418</v>
      </c>
      <c r="C77" s="56" t="s">
        <v>4</v>
      </c>
      <c r="D77" s="93" t="s">
        <v>25</v>
      </c>
      <c r="E77" s="94"/>
      <c r="F77" s="57"/>
      <c r="G77" s="57">
        <v>2434</v>
      </c>
      <c r="H77" s="65"/>
      <c r="I77" s="73" t="s">
        <v>23</v>
      </c>
      <c r="J77" s="74"/>
      <c r="K77" s="75">
        <v>1903</v>
      </c>
      <c r="L77" s="67">
        <v>531</v>
      </c>
      <c r="M77" s="76"/>
      <c r="N77" s="64">
        <f>IF(K77+L77+M77=0,"",K77+L77+M77)</f>
        <v>2434</v>
      </c>
      <c r="O77" s="77"/>
      <c r="P77" s="78">
        <f>ROUNDDOWN($K77/110*10,0)</f>
        <v>173</v>
      </c>
      <c r="Q77" s="79">
        <f>ROUNDDOWN($L77/108*8,0)</f>
        <v>39</v>
      </c>
      <c r="R77" s="64">
        <f>P77+Q77</f>
        <v>212</v>
      </c>
    </row>
    <row r="78" spans="1:18" x14ac:dyDescent="0.4">
      <c r="A78" s="54"/>
      <c r="B78" s="55">
        <v>45419</v>
      </c>
      <c r="C78" s="56" t="s">
        <v>4</v>
      </c>
      <c r="D78" s="93" t="s">
        <v>25</v>
      </c>
      <c r="E78" s="94"/>
      <c r="F78" s="57"/>
      <c r="G78" s="57">
        <v>680</v>
      </c>
      <c r="H78" s="65"/>
      <c r="I78" s="73" t="s">
        <v>23</v>
      </c>
      <c r="J78" s="74"/>
      <c r="K78" s="75">
        <v>680</v>
      </c>
      <c r="L78" s="67"/>
      <c r="M78" s="76"/>
      <c r="N78" s="64">
        <f t="shared" si="0"/>
        <v>680</v>
      </c>
      <c r="O78" s="77"/>
      <c r="P78" s="78">
        <f t="shared" si="10"/>
        <v>61</v>
      </c>
      <c r="Q78" s="79">
        <f t="shared" si="11"/>
        <v>0</v>
      </c>
      <c r="R78" s="64">
        <f t="shared" si="12"/>
        <v>61</v>
      </c>
    </row>
    <row r="79" spans="1:18" x14ac:dyDescent="0.4">
      <c r="A79" s="54"/>
      <c r="B79" s="55"/>
      <c r="C79" s="56" t="s">
        <v>4</v>
      </c>
      <c r="D79" s="93" t="s">
        <v>25</v>
      </c>
      <c r="E79" s="94"/>
      <c r="F79" s="57"/>
      <c r="G79" s="57">
        <v>630</v>
      </c>
      <c r="H79" s="65"/>
      <c r="I79" s="73" t="s">
        <v>23</v>
      </c>
      <c r="J79" s="74"/>
      <c r="K79" s="75">
        <v>630</v>
      </c>
      <c r="L79" s="67"/>
      <c r="M79" s="76"/>
      <c r="N79" s="64">
        <f t="shared" si="0"/>
        <v>630</v>
      </c>
      <c r="O79" s="77"/>
      <c r="P79" s="78">
        <f t="shared" si="10"/>
        <v>57</v>
      </c>
      <c r="Q79" s="79">
        <f t="shared" si="11"/>
        <v>0</v>
      </c>
      <c r="R79" s="64">
        <f t="shared" si="12"/>
        <v>57</v>
      </c>
    </row>
    <row r="80" spans="1:18" x14ac:dyDescent="0.4">
      <c r="A80" s="54"/>
      <c r="B80" s="55"/>
      <c r="C80" s="56" t="s">
        <v>4</v>
      </c>
      <c r="D80" s="93" t="s">
        <v>25</v>
      </c>
      <c r="E80" s="94"/>
      <c r="F80" s="57"/>
      <c r="G80" s="57">
        <v>3898</v>
      </c>
      <c r="H80" s="65"/>
      <c r="I80" s="73" t="s">
        <v>23</v>
      </c>
      <c r="J80" s="74"/>
      <c r="K80" s="75">
        <v>2600</v>
      </c>
      <c r="L80" s="67">
        <v>1298</v>
      </c>
      <c r="M80" s="76"/>
      <c r="N80" s="64">
        <f t="shared" si="0"/>
        <v>3898</v>
      </c>
      <c r="O80" s="77"/>
      <c r="P80" s="78">
        <f t="shared" si="10"/>
        <v>236</v>
      </c>
      <c r="Q80" s="79">
        <f t="shared" si="11"/>
        <v>96</v>
      </c>
      <c r="R80" s="64">
        <f t="shared" si="12"/>
        <v>332</v>
      </c>
    </row>
    <row r="81" spans="1:18" x14ac:dyDescent="0.4">
      <c r="A81" s="54"/>
      <c r="B81" s="55">
        <v>45420</v>
      </c>
      <c r="C81" s="56" t="s">
        <v>4</v>
      </c>
      <c r="D81" s="93" t="s">
        <v>25</v>
      </c>
      <c r="E81" s="94"/>
      <c r="F81" s="57"/>
      <c r="G81" s="57">
        <v>1166</v>
      </c>
      <c r="H81" s="65"/>
      <c r="I81" s="73" t="s">
        <v>23</v>
      </c>
      <c r="J81" s="74"/>
      <c r="K81" s="75"/>
      <c r="L81" s="67">
        <v>1166</v>
      </c>
      <c r="M81" s="76"/>
      <c r="N81" s="64">
        <f>IF(K81+L81+M81=0,"",K81+L81+M81)</f>
        <v>1166</v>
      </c>
      <c r="O81" s="77"/>
      <c r="P81" s="78">
        <f>ROUNDDOWN($K81/110*10,0)</f>
        <v>0</v>
      </c>
      <c r="Q81" s="79">
        <f>ROUNDDOWN($L81/108*8,0)</f>
        <v>86</v>
      </c>
      <c r="R81" s="64">
        <f>P81+Q81</f>
        <v>86</v>
      </c>
    </row>
    <row r="82" spans="1:18" x14ac:dyDescent="0.4">
      <c r="A82" s="54"/>
      <c r="B82" s="55"/>
      <c r="C82" s="56" t="s">
        <v>4</v>
      </c>
      <c r="D82" s="93" t="s">
        <v>25</v>
      </c>
      <c r="E82" s="94"/>
      <c r="F82" s="57"/>
      <c r="G82" s="57">
        <v>1050</v>
      </c>
      <c r="H82" s="65"/>
      <c r="I82" s="73" t="s">
        <v>23</v>
      </c>
      <c r="J82" s="74"/>
      <c r="K82" s="75">
        <v>1050</v>
      </c>
      <c r="L82" s="67"/>
      <c r="M82" s="76"/>
      <c r="N82" s="64">
        <f>IF(K82+L82+M82=0,"",K82+L82+M82)</f>
        <v>1050</v>
      </c>
      <c r="O82" s="77"/>
      <c r="P82" s="78">
        <f>ROUNDDOWN($K82/110*10,0)</f>
        <v>95</v>
      </c>
      <c r="Q82" s="79">
        <f>ROUNDDOWN($L82/108*8,0)</f>
        <v>0</v>
      </c>
      <c r="R82" s="64">
        <f>P82+Q82</f>
        <v>95</v>
      </c>
    </row>
    <row r="83" spans="1:18" x14ac:dyDescent="0.4">
      <c r="A83" s="54"/>
      <c r="B83" s="55">
        <v>45421</v>
      </c>
      <c r="C83" s="56" t="s">
        <v>4</v>
      </c>
      <c r="D83" s="93" t="s">
        <v>25</v>
      </c>
      <c r="E83" s="94"/>
      <c r="F83" s="57"/>
      <c r="G83" s="57">
        <v>1700</v>
      </c>
      <c r="H83" s="65"/>
      <c r="I83" s="73" t="s">
        <v>23</v>
      </c>
      <c r="J83" s="74"/>
      <c r="K83" s="75">
        <v>583</v>
      </c>
      <c r="L83" s="67">
        <v>1117</v>
      </c>
      <c r="M83" s="76"/>
      <c r="N83" s="64">
        <f t="shared" si="0"/>
        <v>1700</v>
      </c>
      <c r="O83" s="77"/>
      <c r="P83" s="78">
        <f t="shared" si="10"/>
        <v>53</v>
      </c>
      <c r="Q83" s="79">
        <f t="shared" si="11"/>
        <v>82</v>
      </c>
      <c r="R83" s="64">
        <f t="shared" si="12"/>
        <v>135</v>
      </c>
    </row>
    <row r="84" spans="1:18" x14ac:dyDescent="0.4">
      <c r="A84" s="54"/>
      <c r="B84" s="55"/>
      <c r="C84" s="56" t="s">
        <v>4</v>
      </c>
      <c r="D84" s="93" t="s">
        <v>25</v>
      </c>
      <c r="E84" s="94"/>
      <c r="F84" s="57"/>
      <c r="G84" s="57">
        <v>1000</v>
      </c>
      <c r="H84" s="65"/>
      <c r="I84" s="73" t="s">
        <v>23</v>
      </c>
      <c r="J84" s="74"/>
      <c r="K84" s="75"/>
      <c r="L84" s="67">
        <v>1000</v>
      </c>
      <c r="M84" s="80"/>
      <c r="N84" s="64">
        <f t="shared" si="0"/>
        <v>1000</v>
      </c>
      <c r="O84" s="77"/>
      <c r="P84" s="78">
        <f t="shared" si="10"/>
        <v>0</v>
      </c>
      <c r="Q84" s="79">
        <f t="shared" si="11"/>
        <v>74</v>
      </c>
      <c r="R84" s="64">
        <f t="shared" si="12"/>
        <v>74</v>
      </c>
    </row>
    <row r="85" spans="1:18" x14ac:dyDescent="0.4">
      <c r="A85" s="54"/>
      <c r="B85" s="55">
        <v>45422</v>
      </c>
      <c r="C85" s="56" t="s">
        <v>4</v>
      </c>
      <c r="D85" s="93" t="s">
        <v>25</v>
      </c>
      <c r="E85" s="94"/>
      <c r="F85" s="57"/>
      <c r="G85" s="57">
        <v>1728</v>
      </c>
      <c r="H85" s="65"/>
      <c r="I85" s="73" t="s">
        <v>23</v>
      </c>
      <c r="J85" s="74"/>
      <c r="K85" s="75">
        <v>583</v>
      </c>
      <c r="L85" s="67">
        <v>1145</v>
      </c>
      <c r="M85" s="76"/>
      <c r="N85" s="64">
        <f t="shared" si="0"/>
        <v>1728</v>
      </c>
      <c r="O85" s="77"/>
      <c r="P85" s="78">
        <f t="shared" si="10"/>
        <v>53</v>
      </c>
      <c r="Q85" s="79">
        <f t="shared" si="11"/>
        <v>84</v>
      </c>
      <c r="R85" s="64">
        <f t="shared" si="12"/>
        <v>137</v>
      </c>
    </row>
    <row r="86" spans="1:18" x14ac:dyDescent="0.4">
      <c r="A86" s="54"/>
      <c r="B86" s="55"/>
      <c r="C86" s="56" t="s">
        <v>4</v>
      </c>
      <c r="D86" s="93" t="s">
        <v>25</v>
      </c>
      <c r="E86" s="94"/>
      <c r="F86" s="57"/>
      <c r="G86" s="57">
        <v>1297</v>
      </c>
      <c r="H86" s="65"/>
      <c r="I86" s="73" t="s">
        <v>23</v>
      </c>
      <c r="J86" s="74"/>
      <c r="K86" s="75"/>
      <c r="L86" s="67">
        <v>1297</v>
      </c>
      <c r="M86" s="76"/>
      <c r="N86" s="64">
        <f t="shared" si="0"/>
        <v>1297</v>
      </c>
      <c r="O86" s="77"/>
      <c r="P86" s="78">
        <f t="shared" si="10"/>
        <v>0</v>
      </c>
      <c r="Q86" s="79">
        <f t="shared" si="11"/>
        <v>96</v>
      </c>
      <c r="R86" s="64">
        <f t="shared" si="12"/>
        <v>96</v>
      </c>
    </row>
    <row r="87" spans="1:18" x14ac:dyDescent="0.4">
      <c r="A87" s="54"/>
      <c r="B87" s="55">
        <v>45423</v>
      </c>
      <c r="C87" s="56" t="s">
        <v>4</v>
      </c>
      <c r="D87" s="93" t="s">
        <v>25</v>
      </c>
      <c r="E87" s="94"/>
      <c r="F87" s="57"/>
      <c r="G87" s="57">
        <v>1840</v>
      </c>
      <c r="H87" s="65"/>
      <c r="I87" s="73" t="s">
        <v>23</v>
      </c>
      <c r="J87" s="74"/>
      <c r="K87" s="75">
        <v>585</v>
      </c>
      <c r="L87" s="67">
        <v>1255</v>
      </c>
      <c r="M87" s="76"/>
      <c r="N87" s="64">
        <f t="shared" si="0"/>
        <v>1840</v>
      </c>
      <c r="O87" s="77"/>
      <c r="P87" s="78">
        <f t="shared" si="10"/>
        <v>53</v>
      </c>
      <c r="Q87" s="79">
        <f t="shared" si="11"/>
        <v>92</v>
      </c>
      <c r="R87" s="64">
        <f t="shared" si="12"/>
        <v>145</v>
      </c>
    </row>
    <row r="88" spans="1:18" x14ac:dyDescent="0.4">
      <c r="A88" s="54"/>
      <c r="B88" s="55"/>
      <c r="C88" s="56" t="s">
        <v>42</v>
      </c>
      <c r="D88" s="93" t="s">
        <v>136</v>
      </c>
      <c r="E88" s="94"/>
      <c r="F88" s="57"/>
      <c r="G88" s="57">
        <v>24728</v>
      </c>
      <c r="H88" s="65"/>
      <c r="I88" s="73" t="s">
        <v>23</v>
      </c>
      <c r="J88" s="74"/>
      <c r="K88" s="75">
        <v>24728</v>
      </c>
      <c r="L88" s="67"/>
      <c r="M88" s="76"/>
      <c r="N88" s="64">
        <f t="shared" si="0"/>
        <v>24728</v>
      </c>
      <c r="O88" s="77"/>
      <c r="P88" s="78">
        <f t="shared" si="10"/>
        <v>2248</v>
      </c>
      <c r="Q88" s="79">
        <f t="shared" si="11"/>
        <v>0</v>
      </c>
      <c r="R88" s="64">
        <f t="shared" si="12"/>
        <v>2248</v>
      </c>
    </row>
    <row r="89" spans="1:18" x14ac:dyDescent="0.4">
      <c r="A89" s="54"/>
      <c r="B89" s="55"/>
      <c r="C89" s="56" t="s">
        <v>4</v>
      </c>
      <c r="D89" s="93" t="s">
        <v>25</v>
      </c>
      <c r="E89" s="94"/>
      <c r="F89" s="57"/>
      <c r="G89" s="57">
        <v>2544</v>
      </c>
      <c r="H89" s="65"/>
      <c r="I89" s="73" t="s">
        <v>23</v>
      </c>
      <c r="J89" s="74"/>
      <c r="K89" s="75">
        <v>1934</v>
      </c>
      <c r="L89" s="67">
        <v>610</v>
      </c>
      <c r="M89" s="76"/>
      <c r="N89" s="64">
        <f t="shared" si="0"/>
        <v>2544</v>
      </c>
      <c r="O89" s="77"/>
      <c r="P89" s="78">
        <f t="shared" si="10"/>
        <v>175</v>
      </c>
      <c r="Q89" s="79">
        <f t="shared" si="11"/>
        <v>45</v>
      </c>
      <c r="R89" s="64">
        <f t="shared" si="12"/>
        <v>220</v>
      </c>
    </row>
    <row r="90" spans="1:18" x14ac:dyDescent="0.4">
      <c r="A90" s="54"/>
      <c r="B90" s="55">
        <v>45424</v>
      </c>
      <c r="C90" s="56" t="s">
        <v>4</v>
      </c>
      <c r="D90" s="93" t="s">
        <v>25</v>
      </c>
      <c r="E90" s="94"/>
      <c r="F90" s="57"/>
      <c r="G90" s="57">
        <v>1650</v>
      </c>
      <c r="H90" s="65"/>
      <c r="I90" s="73" t="s">
        <v>23</v>
      </c>
      <c r="J90" s="74"/>
      <c r="K90" s="75">
        <v>1650</v>
      </c>
      <c r="L90" s="67"/>
      <c r="M90" s="76"/>
      <c r="N90" s="64">
        <f t="shared" si="0"/>
        <v>1650</v>
      </c>
      <c r="O90" s="77"/>
      <c r="P90" s="78">
        <f t="shared" si="10"/>
        <v>150</v>
      </c>
      <c r="Q90" s="79">
        <f t="shared" si="11"/>
        <v>0</v>
      </c>
      <c r="R90" s="64">
        <f t="shared" si="12"/>
        <v>150</v>
      </c>
    </row>
    <row r="91" spans="1:18" x14ac:dyDescent="0.4">
      <c r="A91" s="54"/>
      <c r="B91" s="55"/>
      <c r="C91" s="56" t="s">
        <v>4</v>
      </c>
      <c r="D91" s="93" t="s">
        <v>25</v>
      </c>
      <c r="E91" s="94"/>
      <c r="F91" s="57"/>
      <c r="G91" s="57">
        <v>1598</v>
      </c>
      <c r="H91" s="65"/>
      <c r="I91" s="73" t="s">
        <v>23</v>
      </c>
      <c r="J91" s="74"/>
      <c r="K91" s="75"/>
      <c r="L91" s="67">
        <v>1598</v>
      </c>
      <c r="M91" s="76"/>
      <c r="N91" s="64">
        <f t="shared" si="0"/>
        <v>1598</v>
      </c>
      <c r="O91" s="77"/>
      <c r="P91" s="78">
        <f t="shared" si="10"/>
        <v>0</v>
      </c>
      <c r="Q91" s="79">
        <f t="shared" si="11"/>
        <v>118</v>
      </c>
      <c r="R91" s="64">
        <f t="shared" si="12"/>
        <v>118</v>
      </c>
    </row>
    <row r="92" spans="1:18" x14ac:dyDescent="0.4">
      <c r="A92" s="54"/>
      <c r="B92" s="55">
        <v>45425</v>
      </c>
      <c r="C92" s="56" t="s">
        <v>4</v>
      </c>
      <c r="D92" s="93" t="s">
        <v>25</v>
      </c>
      <c r="E92" s="94"/>
      <c r="F92" s="57"/>
      <c r="G92" s="57">
        <v>1844</v>
      </c>
      <c r="H92" s="65"/>
      <c r="I92" s="73" t="s">
        <v>23</v>
      </c>
      <c r="J92" s="74"/>
      <c r="K92" s="75">
        <v>583</v>
      </c>
      <c r="L92" s="67">
        <v>1261</v>
      </c>
      <c r="M92" s="76"/>
      <c r="N92" s="64">
        <f t="shared" si="0"/>
        <v>1844</v>
      </c>
      <c r="O92" s="77"/>
      <c r="P92" s="78">
        <f t="shared" si="10"/>
        <v>53</v>
      </c>
      <c r="Q92" s="79">
        <f t="shared" si="11"/>
        <v>93</v>
      </c>
      <c r="R92" s="64">
        <f t="shared" si="12"/>
        <v>146</v>
      </c>
    </row>
    <row r="93" spans="1:18" x14ac:dyDescent="0.4">
      <c r="A93" s="54"/>
      <c r="B93" s="55"/>
      <c r="C93" s="56" t="s">
        <v>40</v>
      </c>
      <c r="D93" s="93" t="s">
        <v>137</v>
      </c>
      <c r="E93" s="94"/>
      <c r="F93" s="57"/>
      <c r="G93" s="57">
        <v>63990</v>
      </c>
      <c r="H93" s="65"/>
      <c r="I93" s="73" t="s">
        <v>23</v>
      </c>
      <c r="J93" s="74"/>
      <c r="K93" s="75">
        <v>63990</v>
      </c>
      <c r="L93" s="67"/>
      <c r="M93" s="76"/>
      <c r="N93" s="64">
        <f>IF(K93+L93+M93=0,"",K93+L93+M93)</f>
        <v>63990</v>
      </c>
      <c r="O93" s="77"/>
      <c r="P93" s="78">
        <f>ROUNDDOWN($K93/110*10,0)</f>
        <v>5817</v>
      </c>
      <c r="Q93" s="79">
        <f>ROUNDDOWN($L93/108*8,0)</f>
        <v>0</v>
      </c>
      <c r="R93" s="64">
        <f>P93+Q93</f>
        <v>5817</v>
      </c>
    </row>
    <row r="94" spans="1:18" x14ac:dyDescent="0.4">
      <c r="A94" s="54"/>
      <c r="B94" s="55"/>
      <c r="C94" s="56" t="s">
        <v>40</v>
      </c>
      <c r="D94" s="93" t="s">
        <v>138</v>
      </c>
      <c r="E94" s="94"/>
      <c r="F94" s="57"/>
      <c r="G94" s="57">
        <v>7600</v>
      </c>
      <c r="H94" s="65"/>
      <c r="I94" s="73" t="s">
        <v>23</v>
      </c>
      <c r="J94" s="74"/>
      <c r="K94" s="75">
        <v>7600</v>
      </c>
      <c r="L94" s="67"/>
      <c r="M94" s="76"/>
      <c r="N94" s="64">
        <f t="shared" si="0"/>
        <v>7600</v>
      </c>
      <c r="O94" s="77"/>
      <c r="P94" s="78">
        <f t="shared" si="10"/>
        <v>690</v>
      </c>
      <c r="Q94" s="79">
        <f t="shared" si="11"/>
        <v>0</v>
      </c>
      <c r="R94" s="64">
        <f t="shared" si="12"/>
        <v>690</v>
      </c>
    </row>
    <row r="95" spans="1:18" x14ac:dyDescent="0.4">
      <c r="A95" s="54"/>
      <c r="B95" s="55"/>
      <c r="C95" s="56" t="s">
        <v>4</v>
      </c>
      <c r="D95" s="93" t="s">
        <v>25</v>
      </c>
      <c r="E95" s="94"/>
      <c r="F95" s="57"/>
      <c r="G95" s="57">
        <v>1003</v>
      </c>
      <c r="H95" s="65"/>
      <c r="I95" s="73" t="s">
        <v>23</v>
      </c>
      <c r="J95" s="74"/>
      <c r="K95" s="75"/>
      <c r="L95" s="67">
        <v>1003</v>
      </c>
      <c r="M95" s="76"/>
      <c r="N95" s="64">
        <f t="shared" si="0"/>
        <v>1003</v>
      </c>
      <c r="O95" s="77"/>
      <c r="P95" s="78">
        <f t="shared" si="10"/>
        <v>0</v>
      </c>
      <c r="Q95" s="79">
        <f t="shared" si="11"/>
        <v>74</v>
      </c>
      <c r="R95" s="64">
        <f t="shared" si="12"/>
        <v>74</v>
      </c>
    </row>
    <row r="96" spans="1:18" x14ac:dyDescent="0.4">
      <c r="A96" s="54"/>
      <c r="B96" s="55">
        <v>45426</v>
      </c>
      <c r="C96" s="56" t="s">
        <v>4</v>
      </c>
      <c r="D96" s="93" t="s">
        <v>25</v>
      </c>
      <c r="E96" s="94"/>
      <c r="F96" s="57"/>
      <c r="G96" s="57">
        <v>1474</v>
      </c>
      <c r="H96" s="65"/>
      <c r="I96" s="73" t="s">
        <v>23</v>
      </c>
      <c r="J96" s="74"/>
      <c r="K96" s="75">
        <v>583</v>
      </c>
      <c r="L96" s="67">
        <v>891</v>
      </c>
      <c r="M96" s="76"/>
      <c r="N96" s="64">
        <f t="shared" si="0"/>
        <v>1474</v>
      </c>
      <c r="O96" s="77"/>
      <c r="P96" s="78">
        <f t="shared" si="10"/>
        <v>53</v>
      </c>
      <c r="Q96" s="79">
        <f t="shared" si="11"/>
        <v>66</v>
      </c>
      <c r="R96" s="64">
        <f t="shared" si="12"/>
        <v>119</v>
      </c>
    </row>
    <row r="97" spans="1:18" x14ac:dyDescent="0.4">
      <c r="A97" s="54"/>
      <c r="B97" s="55"/>
      <c r="C97" s="56" t="s">
        <v>4</v>
      </c>
      <c r="D97" s="93" t="s">
        <v>25</v>
      </c>
      <c r="E97" s="94"/>
      <c r="F97" s="57"/>
      <c r="G97" s="57">
        <v>2183</v>
      </c>
      <c r="H97" s="65"/>
      <c r="I97" s="73" t="s">
        <v>29</v>
      </c>
      <c r="J97" s="74"/>
      <c r="K97" s="75">
        <v>2183</v>
      </c>
      <c r="L97" s="67"/>
      <c r="M97" s="76"/>
      <c r="N97" s="64">
        <f t="shared" si="0"/>
        <v>2183</v>
      </c>
      <c r="O97" s="77"/>
      <c r="P97" s="78">
        <f t="shared" si="10"/>
        <v>198</v>
      </c>
      <c r="Q97" s="79">
        <f t="shared" si="11"/>
        <v>0</v>
      </c>
      <c r="R97" s="64">
        <f t="shared" si="12"/>
        <v>198</v>
      </c>
    </row>
    <row r="98" spans="1:18" x14ac:dyDescent="0.4">
      <c r="A98" s="54"/>
      <c r="B98" s="55"/>
      <c r="C98" s="56" t="s">
        <v>4</v>
      </c>
      <c r="D98" s="93" t="s">
        <v>25</v>
      </c>
      <c r="E98" s="94"/>
      <c r="F98" s="57"/>
      <c r="G98" s="57">
        <v>710</v>
      </c>
      <c r="H98" s="65"/>
      <c r="I98" s="73" t="s">
        <v>23</v>
      </c>
      <c r="J98" s="74"/>
      <c r="K98" s="75"/>
      <c r="L98" s="67">
        <v>710</v>
      </c>
      <c r="M98" s="76"/>
      <c r="N98" s="64">
        <f t="shared" si="0"/>
        <v>710</v>
      </c>
      <c r="O98" s="77"/>
      <c r="P98" s="78">
        <f t="shared" si="10"/>
        <v>0</v>
      </c>
      <c r="Q98" s="79">
        <f t="shared" si="11"/>
        <v>52</v>
      </c>
      <c r="R98" s="64">
        <f t="shared" si="12"/>
        <v>52</v>
      </c>
    </row>
    <row r="99" spans="1:18" x14ac:dyDescent="0.4">
      <c r="A99" s="54"/>
      <c r="B99" s="55">
        <v>45427</v>
      </c>
      <c r="C99" s="56" t="s">
        <v>4</v>
      </c>
      <c r="D99" s="93" t="s">
        <v>25</v>
      </c>
      <c r="E99" s="94"/>
      <c r="F99" s="57"/>
      <c r="G99" s="57">
        <v>1722</v>
      </c>
      <c r="H99" s="65"/>
      <c r="I99" s="73" t="s">
        <v>23</v>
      </c>
      <c r="J99" s="74"/>
      <c r="K99" s="75">
        <v>583</v>
      </c>
      <c r="L99" s="67">
        <v>1139</v>
      </c>
      <c r="M99" s="76"/>
      <c r="N99" s="64">
        <f t="shared" si="0"/>
        <v>1722</v>
      </c>
      <c r="O99" s="77"/>
      <c r="P99" s="78">
        <f t="shared" si="10"/>
        <v>53</v>
      </c>
      <c r="Q99" s="79">
        <f t="shared" si="11"/>
        <v>84</v>
      </c>
      <c r="R99" s="64">
        <f t="shared" si="12"/>
        <v>137</v>
      </c>
    </row>
    <row r="100" spans="1:18" x14ac:dyDescent="0.4">
      <c r="A100" s="54"/>
      <c r="B100" s="55"/>
      <c r="C100" s="56" t="s">
        <v>40</v>
      </c>
      <c r="D100" s="93" t="s">
        <v>139</v>
      </c>
      <c r="E100" s="94"/>
      <c r="F100" s="57"/>
      <c r="G100" s="57">
        <v>6027</v>
      </c>
      <c r="H100" s="65"/>
      <c r="I100" s="73" t="s">
        <v>23</v>
      </c>
      <c r="J100" s="74"/>
      <c r="K100" s="75">
        <v>6027</v>
      </c>
      <c r="L100" s="67"/>
      <c r="M100" s="76"/>
      <c r="N100" s="64">
        <f t="shared" si="0"/>
        <v>6027</v>
      </c>
      <c r="O100" s="77"/>
      <c r="P100" s="78">
        <f t="shared" si="10"/>
        <v>547</v>
      </c>
      <c r="Q100" s="79">
        <f t="shared" si="11"/>
        <v>0</v>
      </c>
      <c r="R100" s="64">
        <f t="shared" si="12"/>
        <v>547</v>
      </c>
    </row>
    <row r="101" spans="1:18" x14ac:dyDescent="0.4">
      <c r="A101" s="54"/>
      <c r="B101" s="55"/>
      <c r="C101" s="56" t="s">
        <v>4</v>
      </c>
      <c r="D101" s="93" t="s">
        <v>25</v>
      </c>
      <c r="E101" s="94"/>
      <c r="F101" s="57"/>
      <c r="G101" s="57">
        <v>1452</v>
      </c>
      <c r="H101" s="65"/>
      <c r="I101" s="73" t="s">
        <v>23</v>
      </c>
      <c r="J101" s="74"/>
      <c r="K101" s="75">
        <v>937</v>
      </c>
      <c r="L101" s="67">
        <v>515</v>
      </c>
      <c r="M101" s="76"/>
      <c r="N101" s="64">
        <f t="shared" si="0"/>
        <v>1452</v>
      </c>
      <c r="O101" s="77"/>
      <c r="P101" s="78">
        <f t="shared" si="10"/>
        <v>85</v>
      </c>
      <c r="Q101" s="79">
        <f t="shared" si="11"/>
        <v>38</v>
      </c>
      <c r="R101" s="64">
        <f t="shared" si="12"/>
        <v>123</v>
      </c>
    </row>
    <row r="102" spans="1:18" x14ac:dyDescent="0.4">
      <c r="A102" s="54"/>
      <c r="B102" s="55">
        <v>45428</v>
      </c>
      <c r="C102" s="56" t="s">
        <v>4</v>
      </c>
      <c r="D102" s="93" t="s">
        <v>25</v>
      </c>
      <c r="E102" s="94"/>
      <c r="F102" s="57"/>
      <c r="G102" s="57">
        <v>1722</v>
      </c>
      <c r="H102" s="65"/>
      <c r="I102" s="73" t="s">
        <v>23</v>
      </c>
      <c r="J102" s="74"/>
      <c r="K102" s="75">
        <v>583</v>
      </c>
      <c r="L102" s="67">
        <v>1139</v>
      </c>
      <c r="M102" s="76"/>
      <c r="N102" s="64">
        <f>IF(K102+L102+M102=0,"",K102+L102+M102)</f>
        <v>1722</v>
      </c>
      <c r="O102" s="77"/>
      <c r="P102" s="78">
        <f>ROUNDDOWN($K102/110*10,0)</f>
        <v>53</v>
      </c>
      <c r="Q102" s="79">
        <f>ROUNDDOWN($L102/108*8,0)</f>
        <v>84</v>
      </c>
      <c r="R102" s="64">
        <f>P102+Q102</f>
        <v>137</v>
      </c>
    </row>
    <row r="103" spans="1:18" x14ac:dyDescent="0.4">
      <c r="A103" s="54"/>
      <c r="B103" s="55"/>
      <c r="C103" s="56" t="s">
        <v>4</v>
      </c>
      <c r="D103" s="93" t="s">
        <v>25</v>
      </c>
      <c r="E103" s="94"/>
      <c r="F103" s="57"/>
      <c r="G103" s="57">
        <v>1079</v>
      </c>
      <c r="H103" s="65"/>
      <c r="I103" s="73" t="s">
        <v>23</v>
      </c>
      <c r="J103" s="74"/>
      <c r="K103" s="75"/>
      <c r="L103" s="67">
        <v>1079</v>
      </c>
      <c r="M103" s="76"/>
      <c r="N103" s="64">
        <f t="shared" ref="N103:N163" si="13">IF(K103+L103+M103=0,"",K103+L103+M103)</f>
        <v>1079</v>
      </c>
      <c r="O103" s="77"/>
      <c r="P103" s="78">
        <f t="shared" ref="P103:P163" si="14">ROUNDDOWN($K103/110*10,0)</f>
        <v>0</v>
      </c>
      <c r="Q103" s="79">
        <f t="shared" ref="Q103:Q163" si="15">ROUNDDOWN($L103/108*8,0)</f>
        <v>79</v>
      </c>
      <c r="R103" s="64">
        <f t="shared" ref="R103:R163" si="16">P103+Q103</f>
        <v>79</v>
      </c>
    </row>
    <row r="104" spans="1:18" x14ac:dyDescent="0.4">
      <c r="A104" s="54"/>
      <c r="B104" s="55">
        <v>45429</v>
      </c>
      <c r="C104" s="56" t="s">
        <v>4</v>
      </c>
      <c r="D104" s="93" t="s">
        <v>25</v>
      </c>
      <c r="E104" s="94"/>
      <c r="F104" s="57"/>
      <c r="G104" s="57">
        <v>1772</v>
      </c>
      <c r="H104" s="65"/>
      <c r="I104" s="73" t="s">
        <v>23</v>
      </c>
      <c r="J104" s="74"/>
      <c r="K104" s="75">
        <v>583</v>
      </c>
      <c r="L104" s="67">
        <v>1189</v>
      </c>
      <c r="M104" s="76"/>
      <c r="N104" s="64">
        <f t="shared" si="13"/>
        <v>1772</v>
      </c>
      <c r="O104" s="77"/>
      <c r="P104" s="78">
        <f t="shared" si="14"/>
        <v>53</v>
      </c>
      <c r="Q104" s="79">
        <f t="shared" si="15"/>
        <v>88</v>
      </c>
      <c r="R104" s="64">
        <f t="shared" si="16"/>
        <v>141</v>
      </c>
    </row>
    <row r="105" spans="1:18" x14ac:dyDescent="0.4">
      <c r="A105" s="54"/>
      <c r="B105" s="55"/>
      <c r="C105" s="56" t="s">
        <v>4</v>
      </c>
      <c r="D105" s="93" t="s">
        <v>25</v>
      </c>
      <c r="E105" s="94"/>
      <c r="F105" s="57"/>
      <c r="G105" s="57">
        <v>2460</v>
      </c>
      <c r="H105" s="65"/>
      <c r="I105" s="73" t="s">
        <v>23</v>
      </c>
      <c r="J105" s="74"/>
      <c r="K105" s="75">
        <v>2460</v>
      </c>
      <c r="L105" s="67"/>
      <c r="M105" s="76"/>
      <c r="N105" s="64">
        <f t="shared" si="13"/>
        <v>2460</v>
      </c>
      <c r="O105" s="77"/>
      <c r="P105" s="78">
        <f t="shared" si="14"/>
        <v>223</v>
      </c>
      <c r="Q105" s="79">
        <f t="shared" si="15"/>
        <v>0</v>
      </c>
      <c r="R105" s="64">
        <f t="shared" si="16"/>
        <v>223</v>
      </c>
    </row>
    <row r="106" spans="1:18" x14ac:dyDescent="0.4">
      <c r="A106" s="54"/>
      <c r="B106" s="55"/>
      <c r="C106" s="56" t="s">
        <v>42</v>
      </c>
      <c r="D106" s="93" t="s">
        <v>140</v>
      </c>
      <c r="E106" s="94"/>
      <c r="F106" s="57"/>
      <c r="G106" s="57">
        <v>26270</v>
      </c>
      <c r="H106" s="65"/>
      <c r="I106" s="73" t="s">
        <v>23</v>
      </c>
      <c r="J106" s="74"/>
      <c r="K106" s="75">
        <v>26270</v>
      </c>
      <c r="L106" s="67"/>
      <c r="M106" s="76"/>
      <c r="N106" s="64">
        <f t="shared" si="13"/>
        <v>26270</v>
      </c>
      <c r="O106" s="77"/>
      <c r="P106" s="78">
        <f t="shared" si="14"/>
        <v>2388</v>
      </c>
      <c r="Q106" s="79">
        <f t="shared" si="15"/>
        <v>0</v>
      </c>
      <c r="R106" s="64">
        <f t="shared" si="16"/>
        <v>2388</v>
      </c>
    </row>
    <row r="107" spans="1:18" x14ac:dyDescent="0.4">
      <c r="A107" s="81"/>
      <c r="B107" s="55">
        <v>45430</v>
      </c>
      <c r="C107" s="56" t="s">
        <v>4</v>
      </c>
      <c r="D107" s="93" t="s">
        <v>25</v>
      </c>
      <c r="E107" s="94"/>
      <c r="F107" s="57"/>
      <c r="G107" s="57">
        <v>1100</v>
      </c>
      <c r="H107" s="65"/>
      <c r="I107" s="73" t="s">
        <v>23</v>
      </c>
      <c r="J107" s="74"/>
      <c r="K107" s="83">
        <v>1100</v>
      </c>
      <c r="L107" s="84"/>
      <c r="M107" s="85"/>
      <c r="N107" s="64">
        <f t="shared" si="13"/>
        <v>1100</v>
      </c>
      <c r="O107" s="77"/>
      <c r="P107" s="78">
        <f t="shared" si="14"/>
        <v>100</v>
      </c>
      <c r="Q107" s="79">
        <f t="shared" si="15"/>
        <v>0</v>
      </c>
      <c r="R107" s="64">
        <f t="shared" si="16"/>
        <v>100</v>
      </c>
    </row>
    <row r="108" spans="1:18" x14ac:dyDescent="0.4">
      <c r="A108" s="81"/>
      <c r="B108" s="55"/>
      <c r="C108" s="56" t="s">
        <v>4</v>
      </c>
      <c r="D108" s="93" t="s">
        <v>25</v>
      </c>
      <c r="E108" s="94"/>
      <c r="F108" s="57"/>
      <c r="G108" s="57">
        <v>1408</v>
      </c>
      <c r="H108" s="65"/>
      <c r="I108" s="73" t="s">
        <v>23</v>
      </c>
      <c r="J108" s="74"/>
      <c r="K108" s="83"/>
      <c r="L108" s="84">
        <v>1408</v>
      </c>
      <c r="M108" s="85"/>
      <c r="N108" s="64">
        <f t="shared" si="13"/>
        <v>1408</v>
      </c>
      <c r="O108" s="77"/>
      <c r="P108" s="78">
        <f t="shared" si="14"/>
        <v>0</v>
      </c>
      <c r="Q108" s="79">
        <f t="shared" si="15"/>
        <v>104</v>
      </c>
      <c r="R108" s="64">
        <f t="shared" si="16"/>
        <v>104</v>
      </c>
    </row>
    <row r="109" spans="1:18" x14ac:dyDescent="0.4">
      <c r="A109" s="54" t="s">
        <v>89</v>
      </c>
      <c r="B109" s="55">
        <v>45431</v>
      </c>
      <c r="C109" s="56" t="s">
        <v>57</v>
      </c>
      <c r="D109" s="93" t="s">
        <v>141</v>
      </c>
      <c r="E109" s="97"/>
      <c r="F109" s="57"/>
      <c r="G109" s="57">
        <v>21930</v>
      </c>
      <c r="H109" s="58"/>
      <c r="I109" s="73" t="s">
        <v>23</v>
      </c>
      <c r="J109" s="74"/>
      <c r="K109" s="75">
        <v>21100</v>
      </c>
      <c r="L109" s="67"/>
      <c r="M109" s="76">
        <v>830</v>
      </c>
      <c r="N109" s="64">
        <f t="shared" si="13"/>
        <v>21930</v>
      </c>
      <c r="O109" s="77"/>
      <c r="P109" s="78">
        <f t="shared" si="14"/>
        <v>1918</v>
      </c>
      <c r="Q109" s="79">
        <f t="shared" si="15"/>
        <v>0</v>
      </c>
      <c r="R109" s="64">
        <f t="shared" si="16"/>
        <v>1918</v>
      </c>
    </row>
    <row r="110" spans="1:18" x14ac:dyDescent="0.4">
      <c r="A110" s="54"/>
      <c r="B110" s="55"/>
      <c r="C110" s="56" t="s">
        <v>4</v>
      </c>
      <c r="D110" s="93" t="s">
        <v>25</v>
      </c>
      <c r="E110" s="94"/>
      <c r="F110" s="57"/>
      <c r="G110" s="57">
        <v>1720</v>
      </c>
      <c r="H110" s="65"/>
      <c r="I110" s="73" t="s">
        <v>23</v>
      </c>
      <c r="J110" s="74"/>
      <c r="K110" s="75">
        <v>937</v>
      </c>
      <c r="L110" s="67">
        <v>783</v>
      </c>
      <c r="M110" s="76"/>
      <c r="N110" s="64">
        <f>IF(K110+L110+M110=0,"",K110+L110+M110)</f>
        <v>1720</v>
      </c>
      <c r="O110" s="77"/>
      <c r="P110" s="78">
        <f>ROUNDDOWN($K110/110*10,0)</f>
        <v>85</v>
      </c>
      <c r="Q110" s="79">
        <f>ROUNDDOWN($L110/108*8,0)</f>
        <v>58</v>
      </c>
      <c r="R110" s="64">
        <f>P110+Q110</f>
        <v>143</v>
      </c>
    </row>
    <row r="111" spans="1:18" x14ac:dyDescent="0.4">
      <c r="A111" s="54"/>
      <c r="B111" s="55"/>
      <c r="C111" s="56" t="s">
        <v>4</v>
      </c>
      <c r="D111" s="93" t="s">
        <v>25</v>
      </c>
      <c r="E111" s="94"/>
      <c r="F111" s="66"/>
      <c r="G111" s="67">
        <v>2057</v>
      </c>
      <c r="H111" s="65"/>
      <c r="I111" s="73" t="s">
        <v>23</v>
      </c>
      <c r="J111" s="74"/>
      <c r="K111" s="75">
        <v>2057</v>
      </c>
      <c r="L111" s="67"/>
      <c r="M111" s="76"/>
      <c r="N111" s="64">
        <f>IF(K111+L111+M111=0,"",K111+L111+M111)</f>
        <v>2057</v>
      </c>
      <c r="O111" s="77"/>
      <c r="P111" s="78">
        <f>ROUNDDOWN($K111/110*10,0)</f>
        <v>187</v>
      </c>
      <c r="Q111" s="79">
        <f>ROUNDDOWN($L111/108*8,0)</f>
        <v>0</v>
      </c>
      <c r="R111" s="64">
        <f>P111+Q111</f>
        <v>187</v>
      </c>
    </row>
    <row r="112" spans="1:18" x14ac:dyDescent="0.4">
      <c r="A112" s="54"/>
      <c r="B112" s="55">
        <v>45432</v>
      </c>
      <c r="C112" s="56" t="s">
        <v>4</v>
      </c>
      <c r="D112" s="93" t="s">
        <v>25</v>
      </c>
      <c r="E112" s="94"/>
      <c r="F112" s="57"/>
      <c r="G112" s="57">
        <v>1428</v>
      </c>
      <c r="H112" s="65"/>
      <c r="I112" s="73" t="s">
        <v>23</v>
      </c>
      <c r="J112" s="74"/>
      <c r="K112" s="75">
        <v>583</v>
      </c>
      <c r="L112" s="67">
        <v>845</v>
      </c>
      <c r="M112" s="76"/>
      <c r="N112" s="64">
        <f t="shared" si="13"/>
        <v>1428</v>
      </c>
      <c r="O112" s="77"/>
      <c r="P112" s="78">
        <f t="shared" si="14"/>
        <v>53</v>
      </c>
      <c r="Q112" s="79">
        <f t="shared" si="15"/>
        <v>62</v>
      </c>
      <c r="R112" s="64">
        <f t="shared" si="16"/>
        <v>115</v>
      </c>
    </row>
    <row r="113" spans="1:18" x14ac:dyDescent="0.4">
      <c r="A113" s="54"/>
      <c r="B113" s="55"/>
      <c r="C113" s="56" t="s">
        <v>4</v>
      </c>
      <c r="D113" s="93" t="s">
        <v>25</v>
      </c>
      <c r="E113" s="94"/>
      <c r="F113" s="57"/>
      <c r="G113" s="57">
        <v>2430</v>
      </c>
      <c r="H113" s="65"/>
      <c r="I113" s="73" t="s">
        <v>23</v>
      </c>
      <c r="J113" s="74"/>
      <c r="K113" s="75">
        <v>2430</v>
      </c>
      <c r="L113" s="67"/>
      <c r="M113" s="76"/>
      <c r="N113" s="64">
        <f>IF(K113+L113+M113=0,"",K113+L113+M113)</f>
        <v>2430</v>
      </c>
      <c r="O113" s="77"/>
      <c r="P113" s="78">
        <f>ROUNDDOWN($K113/110*10,0)</f>
        <v>220</v>
      </c>
      <c r="Q113" s="79">
        <f>ROUNDDOWN($L113/108*8,0)</f>
        <v>0</v>
      </c>
      <c r="R113" s="64">
        <f>P113+Q113</f>
        <v>220</v>
      </c>
    </row>
    <row r="114" spans="1:18" x14ac:dyDescent="0.4">
      <c r="A114" s="54"/>
      <c r="B114" s="55">
        <v>45433</v>
      </c>
      <c r="C114" s="56" t="s">
        <v>4</v>
      </c>
      <c r="D114" s="93" t="s">
        <v>25</v>
      </c>
      <c r="E114" s="94"/>
      <c r="F114" s="57"/>
      <c r="G114" s="57">
        <v>1467</v>
      </c>
      <c r="H114" s="65"/>
      <c r="I114" s="73" t="s">
        <v>23</v>
      </c>
      <c r="J114" s="74"/>
      <c r="K114" s="75">
        <v>583</v>
      </c>
      <c r="L114" s="67">
        <v>884</v>
      </c>
      <c r="M114" s="76"/>
      <c r="N114" s="64">
        <f t="shared" si="13"/>
        <v>1467</v>
      </c>
      <c r="O114" s="77"/>
      <c r="P114" s="78">
        <f t="shared" si="14"/>
        <v>53</v>
      </c>
      <c r="Q114" s="79">
        <f t="shared" si="15"/>
        <v>65</v>
      </c>
      <c r="R114" s="64">
        <f t="shared" si="16"/>
        <v>118</v>
      </c>
    </row>
    <row r="115" spans="1:18" x14ac:dyDescent="0.4">
      <c r="A115" s="54"/>
      <c r="B115" s="55">
        <v>45434</v>
      </c>
      <c r="C115" s="56" t="s">
        <v>4</v>
      </c>
      <c r="D115" s="93" t="s">
        <v>25</v>
      </c>
      <c r="E115" s="94"/>
      <c r="F115" s="57"/>
      <c r="G115" s="57">
        <v>1585</v>
      </c>
      <c r="H115" s="65"/>
      <c r="I115" s="73" t="s">
        <v>23</v>
      </c>
      <c r="J115" s="74"/>
      <c r="K115" s="75">
        <v>583</v>
      </c>
      <c r="L115" s="67">
        <v>1002</v>
      </c>
      <c r="M115" s="76"/>
      <c r="N115" s="64">
        <f t="shared" si="13"/>
        <v>1585</v>
      </c>
      <c r="O115" s="77"/>
      <c r="P115" s="78">
        <f t="shared" si="14"/>
        <v>53</v>
      </c>
      <c r="Q115" s="79">
        <f t="shared" si="15"/>
        <v>74</v>
      </c>
      <c r="R115" s="64">
        <f t="shared" si="16"/>
        <v>127</v>
      </c>
    </row>
    <row r="116" spans="1:18" x14ac:dyDescent="0.4">
      <c r="A116" s="54"/>
      <c r="B116" s="55"/>
      <c r="C116" s="56" t="s">
        <v>4</v>
      </c>
      <c r="D116" s="93" t="s">
        <v>25</v>
      </c>
      <c r="E116" s="94"/>
      <c r="F116" s="57"/>
      <c r="G116" s="57">
        <v>2010</v>
      </c>
      <c r="H116" s="65"/>
      <c r="I116" s="73" t="s">
        <v>23</v>
      </c>
      <c r="J116" s="74"/>
      <c r="K116" s="75">
        <v>2010</v>
      </c>
      <c r="L116" s="67"/>
      <c r="M116" s="76"/>
      <c r="N116" s="64">
        <f t="shared" si="13"/>
        <v>2010</v>
      </c>
      <c r="O116" s="77"/>
      <c r="P116" s="78">
        <f t="shared" si="14"/>
        <v>182</v>
      </c>
      <c r="Q116" s="79">
        <f t="shared" si="15"/>
        <v>0</v>
      </c>
      <c r="R116" s="64">
        <f t="shared" si="16"/>
        <v>182</v>
      </c>
    </row>
    <row r="117" spans="1:18" x14ac:dyDescent="0.4">
      <c r="A117" s="54"/>
      <c r="B117" s="55">
        <v>45435</v>
      </c>
      <c r="C117" s="56" t="s">
        <v>4</v>
      </c>
      <c r="D117" s="93" t="s">
        <v>25</v>
      </c>
      <c r="E117" s="94"/>
      <c r="F117" s="57"/>
      <c r="G117" s="57">
        <v>1488</v>
      </c>
      <c r="H117" s="65"/>
      <c r="I117" s="73" t="s">
        <v>23</v>
      </c>
      <c r="J117" s="74"/>
      <c r="K117" s="75">
        <v>583</v>
      </c>
      <c r="L117" s="67">
        <v>905</v>
      </c>
      <c r="M117" s="76"/>
      <c r="N117" s="64">
        <f>IF(K117+L117+M117=0,"",K117+L117+M117)</f>
        <v>1488</v>
      </c>
      <c r="O117" s="77"/>
      <c r="P117" s="78">
        <f>ROUNDDOWN($K117/110*10,0)</f>
        <v>53</v>
      </c>
      <c r="Q117" s="79">
        <f>ROUNDDOWN($L117/108*8,0)</f>
        <v>67</v>
      </c>
      <c r="R117" s="64">
        <f>P117+Q117</f>
        <v>120</v>
      </c>
    </row>
    <row r="118" spans="1:18" x14ac:dyDescent="0.4">
      <c r="A118" s="54"/>
      <c r="B118" s="55">
        <v>45436</v>
      </c>
      <c r="C118" s="56" t="s">
        <v>4</v>
      </c>
      <c r="D118" s="93" t="s">
        <v>25</v>
      </c>
      <c r="E118" s="94"/>
      <c r="F118" s="57"/>
      <c r="G118" s="57">
        <v>1322</v>
      </c>
      <c r="H118" s="65"/>
      <c r="I118" s="73" t="s">
        <v>23</v>
      </c>
      <c r="J118" s="74"/>
      <c r="K118" s="75">
        <v>583</v>
      </c>
      <c r="L118" s="67">
        <v>739</v>
      </c>
      <c r="M118" s="76"/>
      <c r="N118" s="64">
        <f>IF(K118+L118+M118=0,"",K118+L118+M118)</f>
        <v>1322</v>
      </c>
      <c r="O118" s="77"/>
      <c r="P118" s="78">
        <f>ROUNDDOWN($K118/110*10,0)</f>
        <v>53</v>
      </c>
      <c r="Q118" s="79">
        <f>ROUNDDOWN($L118/108*8,0)</f>
        <v>54</v>
      </c>
      <c r="R118" s="64">
        <f>P118+Q118</f>
        <v>107</v>
      </c>
    </row>
    <row r="119" spans="1:18" x14ac:dyDescent="0.4">
      <c r="A119" s="54"/>
      <c r="B119" s="55"/>
      <c r="C119" s="56" t="s">
        <v>42</v>
      </c>
      <c r="D119" s="93" t="s">
        <v>142</v>
      </c>
      <c r="E119" s="94"/>
      <c r="F119" s="57"/>
      <c r="G119" s="57">
        <v>17682</v>
      </c>
      <c r="H119" s="65"/>
      <c r="I119" s="73" t="s">
        <v>23</v>
      </c>
      <c r="J119" s="74"/>
      <c r="K119" s="75">
        <v>17682</v>
      </c>
      <c r="L119" s="67"/>
      <c r="M119" s="76"/>
      <c r="N119" s="64">
        <f t="shared" si="13"/>
        <v>17682</v>
      </c>
      <c r="O119" s="77"/>
      <c r="P119" s="78">
        <f t="shared" si="14"/>
        <v>1607</v>
      </c>
      <c r="Q119" s="79">
        <f t="shared" si="15"/>
        <v>0</v>
      </c>
      <c r="R119" s="64">
        <f t="shared" si="16"/>
        <v>1607</v>
      </c>
    </row>
    <row r="120" spans="1:18" x14ac:dyDescent="0.4">
      <c r="A120" s="54"/>
      <c r="B120" s="55"/>
      <c r="C120" s="56" t="s">
        <v>4</v>
      </c>
      <c r="D120" s="93" t="s">
        <v>25</v>
      </c>
      <c r="E120" s="94"/>
      <c r="F120" s="57"/>
      <c r="G120" s="57">
        <v>3000</v>
      </c>
      <c r="H120" s="65"/>
      <c r="I120" s="73" t="s">
        <v>29</v>
      </c>
      <c r="J120" s="74"/>
      <c r="K120" s="75">
        <v>3000</v>
      </c>
      <c r="L120" s="67"/>
      <c r="M120" s="80"/>
      <c r="N120" s="64">
        <f t="shared" si="13"/>
        <v>3000</v>
      </c>
      <c r="O120" s="77"/>
      <c r="P120" s="78">
        <f t="shared" si="14"/>
        <v>272</v>
      </c>
      <c r="Q120" s="79">
        <f t="shared" si="15"/>
        <v>0</v>
      </c>
      <c r="R120" s="64">
        <f t="shared" si="16"/>
        <v>272</v>
      </c>
    </row>
    <row r="121" spans="1:18" x14ac:dyDescent="0.4">
      <c r="A121" s="54"/>
      <c r="B121" s="55"/>
      <c r="C121" s="56" t="s">
        <v>4</v>
      </c>
      <c r="D121" s="93" t="s">
        <v>25</v>
      </c>
      <c r="E121" s="94"/>
      <c r="F121" s="57"/>
      <c r="G121" s="57">
        <v>1794</v>
      </c>
      <c r="H121" s="65"/>
      <c r="I121" s="73" t="s">
        <v>29</v>
      </c>
      <c r="J121" s="74"/>
      <c r="K121" s="75">
        <v>948</v>
      </c>
      <c r="L121" s="67">
        <v>846</v>
      </c>
      <c r="M121" s="76"/>
      <c r="N121" s="64">
        <f t="shared" si="13"/>
        <v>1794</v>
      </c>
      <c r="O121" s="77"/>
      <c r="P121" s="78">
        <f t="shared" si="14"/>
        <v>86</v>
      </c>
      <c r="Q121" s="79">
        <f t="shared" si="15"/>
        <v>62</v>
      </c>
      <c r="R121" s="64">
        <f t="shared" si="16"/>
        <v>148</v>
      </c>
    </row>
    <row r="122" spans="1:18" x14ac:dyDescent="0.4">
      <c r="A122" s="54"/>
      <c r="B122" s="55">
        <v>45437</v>
      </c>
      <c r="C122" s="56" t="s">
        <v>4</v>
      </c>
      <c r="D122" s="93" t="s">
        <v>135</v>
      </c>
      <c r="E122" s="94"/>
      <c r="F122" s="57"/>
      <c r="G122" s="57">
        <v>7828</v>
      </c>
      <c r="H122" s="65"/>
      <c r="I122" s="73" t="s">
        <v>23</v>
      </c>
      <c r="J122" s="74"/>
      <c r="K122" s="75">
        <v>6207</v>
      </c>
      <c r="L122" s="67"/>
      <c r="M122" s="76">
        <v>1621</v>
      </c>
      <c r="N122" s="64">
        <f t="shared" si="13"/>
        <v>7828</v>
      </c>
      <c r="O122" s="77"/>
      <c r="P122" s="78">
        <f t="shared" si="14"/>
        <v>564</v>
      </c>
      <c r="Q122" s="79">
        <f t="shared" si="15"/>
        <v>0</v>
      </c>
      <c r="R122" s="64">
        <f t="shared" si="16"/>
        <v>564</v>
      </c>
    </row>
    <row r="123" spans="1:18" x14ac:dyDescent="0.4">
      <c r="A123" s="54"/>
      <c r="B123" s="55"/>
      <c r="C123" s="56" t="s">
        <v>4</v>
      </c>
      <c r="D123" s="93" t="s">
        <v>25</v>
      </c>
      <c r="E123" s="94"/>
      <c r="F123" s="57"/>
      <c r="G123" s="57">
        <v>1170</v>
      </c>
      <c r="H123" s="65"/>
      <c r="I123" s="73" t="s">
        <v>23</v>
      </c>
      <c r="J123" s="74"/>
      <c r="K123" s="75">
        <v>1170</v>
      </c>
      <c r="L123" s="67"/>
      <c r="M123" s="76"/>
      <c r="N123" s="64">
        <f t="shared" si="13"/>
        <v>1170</v>
      </c>
      <c r="O123" s="77"/>
      <c r="P123" s="78">
        <f t="shared" si="14"/>
        <v>106</v>
      </c>
      <c r="Q123" s="79">
        <f t="shared" si="15"/>
        <v>0</v>
      </c>
      <c r="R123" s="64">
        <f t="shared" si="16"/>
        <v>106</v>
      </c>
    </row>
    <row r="124" spans="1:18" x14ac:dyDescent="0.4">
      <c r="A124" s="54"/>
      <c r="B124" s="55"/>
      <c r="C124" s="56" t="s">
        <v>4</v>
      </c>
      <c r="D124" s="93" t="s">
        <v>25</v>
      </c>
      <c r="E124" s="94"/>
      <c r="F124" s="57"/>
      <c r="G124" s="57">
        <v>2458</v>
      </c>
      <c r="H124" s="65"/>
      <c r="I124" s="73" t="s">
        <v>23</v>
      </c>
      <c r="J124" s="74"/>
      <c r="K124" s="75">
        <v>1631</v>
      </c>
      <c r="L124" s="67">
        <v>827</v>
      </c>
      <c r="M124" s="76"/>
      <c r="N124" s="64">
        <f t="shared" si="13"/>
        <v>2458</v>
      </c>
      <c r="O124" s="77"/>
      <c r="P124" s="78">
        <f t="shared" si="14"/>
        <v>148</v>
      </c>
      <c r="Q124" s="79">
        <f t="shared" si="15"/>
        <v>61</v>
      </c>
      <c r="R124" s="64">
        <f t="shared" si="16"/>
        <v>209</v>
      </c>
    </row>
    <row r="125" spans="1:18" x14ac:dyDescent="0.4">
      <c r="A125" s="54"/>
      <c r="B125" s="55">
        <v>45438</v>
      </c>
      <c r="C125" s="56" t="s">
        <v>4</v>
      </c>
      <c r="D125" s="93" t="s">
        <v>25</v>
      </c>
      <c r="E125" s="94"/>
      <c r="F125" s="57"/>
      <c r="G125" s="57">
        <v>1680</v>
      </c>
      <c r="H125" s="65"/>
      <c r="I125" s="73" t="s">
        <v>23</v>
      </c>
      <c r="J125" s="74"/>
      <c r="K125" s="75">
        <v>1680</v>
      </c>
      <c r="L125" s="67"/>
      <c r="M125" s="76"/>
      <c r="N125" s="64">
        <f t="shared" si="13"/>
        <v>1680</v>
      </c>
      <c r="O125" s="77"/>
      <c r="P125" s="78">
        <f t="shared" si="14"/>
        <v>152</v>
      </c>
      <c r="Q125" s="79">
        <f t="shared" si="15"/>
        <v>0</v>
      </c>
      <c r="R125" s="64">
        <f t="shared" si="16"/>
        <v>152</v>
      </c>
    </row>
    <row r="126" spans="1:18" x14ac:dyDescent="0.4">
      <c r="A126" s="54"/>
      <c r="B126" s="55"/>
      <c r="C126" s="56" t="s">
        <v>4</v>
      </c>
      <c r="D126" s="93" t="s">
        <v>25</v>
      </c>
      <c r="E126" s="94"/>
      <c r="F126" s="57"/>
      <c r="G126" s="57">
        <v>1357</v>
      </c>
      <c r="H126" s="65"/>
      <c r="I126" s="73" t="s">
        <v>23</v>
      </c>
      <c r="J126" s="74"/>
      <c r="K126" s="75"/>
      <c r="L126" s="67">
        <v>1357</v>
      </c>
      <c r="M126" s="76"/>
      <c r="N126" s="64">
        <f t="shared" si="13"/>
        <v>1357</v>
      </c>
      <c r="O126" s="77"/>
      <c r="P126" s="78">
        <f t="shared" si="14"/>
        <v>0</v>
      </c>
      <c r="Q126" s="79">
        <f t="shared" si="15"/>
        <v>100</v>
      </c>
      <c r="R126" s="64">
        <f t="shared" si="16"/>
        <v>100</v>
      </c>
    </row>
    <row r="127" spans="1:18" x14ac:dyDescent="0.4">
      <c r="A127" s="54"/>
      <c r="B127" s="55">
        <v>45439</v>
      </c>
      <c r="C127" s="56" t="s">
        <v>4</v>
      </c>
      <c r="D127" s="93" t="s">
        <v>25</v>
      </c>
      <c r="E127" s="94"/>
      <c r="F127" s="57"/>
      <c r="G127" s="57">
        <v>1204</v>
      </c>
      <c r="H127" s="65"/>
      <c r="I127" s="73" t="s">
        <v>23</v>
      </c>
      <c r="J127" s="74"/>
      <c r="K127" s="75">
        <v>583</v>
      </c>
      <c r="L127" s="67">
        <v>621</v>
      </c>
      <c r="M127" s="76"/>
      <c r="N127" s="64">
        <f t="shared" si="13"/>
        <v>1204</v>
      </c>
      <c r="O127" s="77"/>
      <c r="P127" s="78">
        <f t="shared" si="14"/>
        <v>53</v>
      </c>
      <c r="Q127" s="79">
        <f t="shared" si="15"/>
        <v>46</v>
      </c>
      <c r="R127" s="64">
        <f t="shared" si="16"/>
        <v>99</v>
      </c>
    </row>
    <row r="128" spans="1:18" x14ac:dyDescent="0.4">
      <c r="A128" s="54"/>
      <c r="B128" s="55"/>
      <c r="C128" s="56" t="s">
        <v>4</v>
      </c>
      <c r="D128" s="93" t="s">
        <v>25</v>
      </c>
      <c r="E128" s="94"/>
      <c r="F128" s="57"/>
      <c r="G128" s="57">
        <v>5950</v>
      </c>
      <c r="H128" s="65"/>
      <c r="I128" s="73" t="s">
        <v>23</v>
      </c>
      <c r="J128" s="74"/>
      <c r="K128" s="75">
        <v>5950</v>
      </c>
      <c r="L128" s="67"/>
      <c r="M128" s="76"/>
      <c r="N128" s="64">
        <f t="shared" si="13"/>
        <v>5950</v>
      </c>
      <c r="O128" s="77"/>
      <c r="P128" s="78">
        <f t="shared" si="14"/>
        <v>540</v>
      </c>
      <c r="Q128" s="79">
        <f t="shared" si="15"/>
        <v>0</v>
      </c>
      <c r="R128" s="64">
        <f t="shared" si="16"/>
        <v>540</v>
      </c>
    </row>
    <row r="129" spans="1:18" x14ac:dyDescent="0.4">
      <c r="A129" s="54"/>
      <c r="B129" s="55">
        <v>45440</v>
      </c>
      <c r="C129" s="56" t="s">
        <v>4</v>
      </c>
      <c r="D129" s="93" t="s">
        <v>25</v>
      </c>
      <c r="E129" s="94"/>
      <c r="F129" s="57"/>
      <c r="G129" s="57">
        <v>1795</v>
      </c>
      <c r="H129" s="65"/>
      <c r="I129" s="73" t="s">
        <v>23</v>
      </c>
      <c r="J129" s="74"/>
      <c r="K129" s="75">
        <v>1163</v>
      </c>
      <c r="L129" s="67">
        <v>632</v>
      </c>
      <c r="M129" s="76"/>
      <c r="N129" s="64">
        <f>IF(K129+L129+M129=0,"",K129+L129+M129)</f>
        <v>1795</v>
      </c>
      <c r="O129" s="77"/>
      <c r="P129" s="78">
        <f>ROUNDDOWN($K129/110*10,0)</f>
        <v>105</v>
      </c>
      <c r="Q129" s="79">
        <f>ROUNDDOWN($L129/108*8,0)</f>
        <v>46</v>
      </c>
      <c r="R129" s="64">
        <f>P129+Q129</f>
        <v>151</v>
      </c>
    </row>
    <row r="130" spans="1:18" x14ac:dyDescent="0.4">
      <c r="A130" s="54"/>
      <c r="B130" s="55"/>
      <c r="C130" s="56" t="s">
        <v>4</v>
      </c>
      <c r="D130" s="93" t="s">
        <v>25</v>
      </c>
      <c r="E130" s="94"/>
      <c r="F130" s="57"/>
      <c r="G130" s="57">
        <v>1960</v>
      </c>
      <c r="H130" s="65"/>
      <c r="I130" s="73" t="s">
        <v>23</v>
      </c>
      <c r="J130" s="74"/>
      <c r="K130" s="75">
        <v>1960</v>
      </c>
      <c r="L130" s="67"/>
      <c r="M130" s="76"/>
      <c r="N130" s="64">
        <f t="shared" si="13"/>
        <v>1960</v>
      </c>
      <c r="O130" s="77"/>
      <c r="P130" s="78">
        <f t="shared" si="14"/>
        <v>178</v>
      </c>
      <c r="Q130" s="79">
        <f t="shared" si="15"/>
        <v>0</v>
      </c>
      <c r="R130" s="64">
        <f t="shared" si="16"/>
        <v>178</v>
      </c>
    </row>
    <row r="131" spans="1:18" x14ac:dyDescent="0.4">
      <c r="A131" s="54"/>
      <c r="B131" s="55">
        <v>45441</v>
      </c>
      <c r="C131" s="56" t="s">
        <v>4</v>
      </c>
      <c r="D131" s="93" t="s">
        <v>25</v>
      </c>
      <c r="E131" s="94"/>
      <c r="F131" s="57"/>
      <c r="G131" s="57">
        <v>1731</v>
      </c>
      <c r="H131" s="65"/>
      <c r="I131" s="73" t="s">
        <v>23</v>
      </c>
      <c r="J131" s="74"/>
      <c r="K131" s="75">
        <v>331</v>
      </c>
      <c r="L131" s="67">
        <v>1400</v>
      </c>
      <c r="M131" s="76"/>
      <c r="N131" s="64">
        <f t="shared" si="13"/>
        <v>1731</v>
      </c>
      <c r="O131" s="77"/>
      <c r="P131" s="78">
        <f t="shared" si="14"/>
        <v>30</v>
      </c>
      <c r="Q131" s="79">
        <f t="shared" si="15"/>
        <v>103</v>
      </c>
      <c r="R131" s="64">
        <f t="shared" si="16"/>
        <v>133</v>
      </c>
    </row>
    <row r="132" spans="1:18" x14ac:dyDescent="0.4">
      <c r="A132" s="54"/>
      <c r="B132" s="55"/>
      <c r="C132" s="56" t="s">
        <v>4</v>
      </c>
      <c r="D132" s="93" t="s">
        <v>143</v>
      </c>
      <c r="E132" s="94"/>
      <c r="F132" s="57"/>
      <c r="G132" s="57">
        <v>261450</v>
      </c>
      <c r="H132" s="65"/>
      <c r="I132" s="73" t="s">
        <v>23</v>
      </c>
      <c r="J132" s="74"/>
      <c r="K132" s="75">
        <v>261450</v>
      </c>
      <c r="L132" s="67"/>
      <c r="M132" s="76"/>
      <c r="N132" s="64">
        <f t="shared" si="13"/>
        <v>261450</v>
      </c>
      <c r="O132" s="77"/>
      <c r="P132" s="78">
        <f t="shared" si="14"/>
        <v>23768</v>
      </c>
      <c r="Q132" s="79">
        <f t="shared" si="15"/>
        <v>0</v>
      </c>
      <c r="R132" s="64">
        <f t="shared" si="16"/>
        <v>23768</v>
      </c>
    </row>
    <row r="133" spans="1:18" x14ac:dyDescent="0.4">
      <c r="A133" s="54"/>
      <c r="B133" s="55"/>
      <c r="C133" s="56" t="s">
        <v>4</v>
      </c>
      <c r="D133" s="93" t="s">
        <v>135</v>
      </c>
      <c r="E133" s="94"/>
      <c r="F133" s="57"/>
      <c r="G133" s="57">
        <v>4774</v>
      </c>
      <c r="H133" s="65"/>
      <c r="I133" s="73" t="s">
        <v>23</v>
      </c>
      <c r="J133" s="74"/>
      <c r="K133" s="75">
        <v>3786</v>
      </c>
      <c r="L133" s="67"/>
      <c r="M133" s="76">
        <v>988</v>
      </c>
      <c r="N133" s="64">
        <f t="shared" si="13"/>
        <v>4774</v>
      </c>
      <c r="O133" s="77"/>
      <c r="P133" s="78">
        <f t="shared" si="14"/>
        <v>344</v>
      </c>
      <c r="Q133" s="79">
        <f t="shared" si="15"/>
        <v>0</v>
      </c>
      <c r="R133" s="64">
        <f t="shared" si="16"/>
        <v>344</v>
      </c>
    </row>
    <row r="134" spans="1:18" x14ac:dyDescent="0.4">
      <c r="A134" s="54"/>
      <c r="B134" s="55">
        <v>45442</v>
      </c>
      <c r="C134" s="56" t="s">
        <v>4</v>
      </c>
      <c r="D134" s="93" t="s">
        <v>25</v>
      </c>
      <c r="E134" s="94"/>
      <c r="F134" s="57"/>
      <c r="G134" s="57">
        <v>1867</v>
      </c>
      <c r="H134" s="65"/>
      <c r="I134" s="73" t="s">
        <v>23</v>
      </c>
      <c r="J134" s="74"/>
      <c r="K134" s="75">
        <v>1740</v>
      </c>
      <c r="L134" s="67">
        <v>127</v>
      </c>
      <c r="M134" s="76"/>
      <c r="N134" s="64">
        <f t="shared" si="13"/>
        <v>1867</v>
      </c>
      <c r="O134" s="77"/>
      <c r="P134" s="78">
        <f t="shared" si="14"/>
        <v>158</v>
      </c>
      <c r="Q134" s="79">
        <f t="shared" si="15"/>
        <v>9</v>
      </c>
      <c r="R134" s="64">
        <f t="shared" si="16"/>
        <v>167</v>
      </c>
    </row>
    <row r="135" spans="1:18" x14ac:dyDescent="0.4">
      <c r="A135" s="54"/>
      <c r="B135" s="55">
        <v>45445</v>
      </c>
      <c r="C135" s="56" t="s">
        <v>4</v>
      </c>
      <c r="D135" s="93" t="s">
        <v>135</v>
      </c>
      <c r="E135" s="94"/>
      <c r="F135" s="57"/>
      <c r="G135" s="57">
        <v>5302</v>
      </c>
      <c r="H135" s="65"/>
      <c r="I135" s="73" t="s">
        <v>23</v>
      </c>
      <c r="J135" s="74"/>
      <c r="K135" s="75">
        <v>4069</v>
      </c>
      <c r="L135" s="67"/>
      <c r="M135" s="76">
        <v>1233</v>
      </c>
      <c r="N135" s="64">
        <f t="shared" si="13"/>
        <v>5302</v>
      </c>
      <c r="O135" s="77"/>
      <c r="P135" s="78">
        <f t="shared" si="14"/>
        <v>369</v>
      </c>
      <c r="Q135" s="79">
        <f t="shared" si="15"/>
        <v>0</v>
      </c>
      <c r="R135" s="64">
        <f t="shared" si="16"/>
        <v>369</v>
      </c>
    </row>
    <row r="136" spans="1:18" x14ac:dyDescent="0.4">
      <c r="A136" s="54"/>
      <c r="B136" s="55">
        <v>45446</v>
      </c>
      <c r="C136" s="56" t="s">
        <v>4</v>
      </c>
      <c r="D136" s="93" t="s">
        <v>25</v>
      </c>
      <c r="E136" s="94"/>
      <c r="F136" s="57"/>
      <c r="G136" s="57">
        <v>1740</v>
      </c>
      <c r="H136" s="65"/>
      <c r="I136" s="73" t="s">
        <v>23</v>
      </c>
      <c r="J136" s="74"/>
      <c r="K136" s="75">
        <v>1740</v>
      </c>
      <c r="L136" s="67"/>
      <c r="M136" s="76"/>
      <c r="N136" s="64">
        <f t="shared" si="13"/>
        <v>1740</v>
      </c>
      <c r="O136" s="77"/>
      <c r="P136" s="78">
        <f t="shared" si="14"/>
        <v>158</v>
      </c>
      <c r="Q136" s="79">
        <f t="shared" si="15"/>
        <v>0</v>
      </c>
      <c r="R136" s="64">
        <f t="shared" si="16"/>
        <v>158</v>
      </c>
    </row>
    <row r="137" spans="1:18" x14ac:dyDescent="0.4">
      <c r="A137" s="54"/>
      <c r="B137" s="55"/>
      <c r="C137" s="56" t="s">
        <v>4</v>
      </c>
      <c r="D137" s="93" t="s">
        <v>25</v>
      </c>
      <c r="E137" s="94"/>
      <c r="F137" s="57"/>
      <c r="G137" s="57">
        <v>1380</v>
      </c>
      <c r="H137" s="65"/>
      <c r="I137" s="73" t="s">
        <v>23</v>
      </c>
      <c r="J137" s="74"/>
      <c r="K137" s="75">
        <v>1380</v>
      </c>
      <c r="L137" s="67"/>
      <c r="M137" s="76"/>
      <c r="N137" s="64">
        <f t="shared" si="13"/>
        <v>1380</v>
      </c>
      <c r="O137" s="77"/>
      <c r="P137" s="78">
        <f t="shared" si="14"/>
        <v>125</v>
      </c>
      <c r="Q137" s="79">
        <f t="shared" si="15"/>
        <v>0</v>
      </c>
      <c r="R137" s="64">
        <f t="shared" si="16"/>
        <v>125</v>
      </c>
    </row>
    <row r="138" spans="1:18" x14ac:dyDescent="0.4">
      <c r="A138" s="54"/>
      <c r="B138" s="55"/>
      <c r="C138" s="56" t="s">
        <v>4</v>
      </c>
      <c r="D138" s="93" t="s">
        <v>25</v>
      </c>
      <c r="E138" s="94"/>
      <c r="F138" s="57"/>
      <c r="G138" s="57">
        <v>780</v>
      </c>
      <c r="H138" s="65"/>
      <c r="I138" s="73" t="s">
        <v>23</v>
      </c>
      <c r="J138" s="74"/>
      <c r="K138" s="75">
        <v>780</v>
      </c>
      <c r="L138" s="67"/>
      <c r="M138" s="76"/>
      <c r="N138" s="64">
        <f>IF(K138+L138+M138=0,"",K138+L138+M138)</f>
        <v>780</v>
      </c>
      <c r="O138" s="77"/>
      <c r="P138" s="78">
        <f>ROUNDDOWN($K138/110*10,0)</f>
        <v>70</v>
      </c>
      <c r="Q138" s="79">
        <f>ROUNDDOWN($L138/108*8,0)</f>
        <v>0</v>
      </c>
      <c r="R138" s="64">
        <f>P138+Q138</f>
        <v>70</v>
      </c>
    </row>
    <row r="139" spans="1:18" x14ac:dyDescent="0.4">
      <c r="A139" s="54"/>
      <c r="B139" s="55"/>
      <c r="C139" s="56" t="s">
        <v>4</v>
      </c>
      <c r="D139" s="93" t="s">
        <v>25</v>
      </c>
      <c r="E139" s="94"/>
      <c r="F139" s="57"/>
      <c r="G139" s="57">
        <v>3239</v>
      </c>
      <c r="H139" s="65"/>
      <c r="I139" s="73" t="s">
        <v>23</v>
      </c>
      <c r="J139" s="74"/>
      <c r="K139" s="75">
        <v>2597</v>
      </c>
      <c r="L139" s="67">
        <v>642</v>
      </c>
      <c r="M139" s="76"/>
      <c r="N139" s="64">
        <f t="shared" si="13"/>
        <v>3239</v>
      </c>
      <c r="O139" s="77"/>
      <c r="P139" s="78">
        <f t="shared" si="14"/>
        <v>236</v>
      </c>
      <c r="Q139" s="79">
        <f t="shared" si="15"/>
        <v>47</v>
      </c>
      <c r="R139" s="64">
        <f t="shared" si="16"/>
        <v>283</v>
      </c>
    </row>
    <row r="140" spans="1:18" x14ac:dyDescent="0.4">
      <c r="A140" s="54"/>
      <c r="B140" s="55"/>
      <c r="C140" s="56" t="s">
        <v>4</v>
      </c>
      <c r="D140" s="93" t="s">
        <v>25</v>
      </c>
      <c r="E140" s="94"/>
      <c r="F140" s="57"/>
      <c r="G140" s="57">
        <v>1692</v>
      </c>
      <c r="H140" s="65"/>
      <c r="I140" s="73" t="s">
        <v>23</v>
      </c>
      <c r="J140" s="74"/>
      <c r="K140" s="75"/>
      <c r="L140" s="67">
        <v>1692</v>
      </c>
      <c r="M140" s="76"/>
      <c r="N140" s="64">
        <f t="shared" si="13"/>
        <v>1692</v>
      </c>
      <c r="O140" s="77"/>
      <c r="P140" s="78">
        <f t="shared" si="14"/>
        <v>0</v>
      </c>
      <c r="Q140" s="79">
        <f t="shared" si="15"/>
        <v>125</v>
      </c>
      <c r="R140" s="64">
        <f t="shared" si="16"/>
        <v>125</v>
      </c>
    </row>
    <row r="141" spans="1:18" x14ac:dyDescent="0.4">
      <c r="A141" s="54"/>
      <c r="B141" s="55">
        <v>45447</v>
      </c>
      <c r="C141" s="56" t="s">
        <v>4</v>
      </c>
      <c r="D141" s="93" t="s">
        <v>25</v>
      </c>
      <c r="E141" s="94"/>
      <c r="F141" s="57"/>
      <c r="G141" s="57">
        <v>1130</v>
      </c>
      <c r="H141" s="65"/>
      <c r="I141" s="73" t="s">
        <v>23</v>
      </c>
      <c r="J141" s="74"/>
      <c r="K141" s="75">
        <v>1130</v>
      </c>
      <c r="L141" s="67"/>
      <c r="M141" s="76"/>
      <c r="N141" s="64">
        <f t="shared" si="13"/>
        <v>1130</v>
      </c>
      <c r="O141" s="77"/>
      <c r="P141" s="78">
        <f t="shared" si="14"/>
        <v>102</v>
      </c>
      <c r="Q141" s="79">
        <f t="shared" si="15"/>
        <v>0</v>
      </c>
      <c r="R141" s="64">
        <f t="shared" si="16"/>
        <v>102</v>
      </c>
    </row>
    <row r="142" spans="1:18" x14ac:dyDescent="0.4">
      <c r="A142" s="54"/>
      <c r="B142" s="55"/>
      <c r="C142" s="56" t="s">
        <v>40</v>
      </c>
      <c r="D142" s="93" t="s">
        <v>139</v>
      </c>
      <c r="E142" s="94"/>
      <c r="F142" s="57"/>
      <c r="G142" s="57">
        <v>12498</v>
      </c>
      <c r="H142" s="65"/>
      <c r="I142" s="73" t="s">
        <v>23</v>
      </c>
      <c r="J142" s="74"/>
      <c r="K142" s="75">
        <v>12498</v>
      </c>
      <c r="L142" s="67"/>
      <c r="M142" s="76"/>
      <c r="N142" s="64">
        <f t="shared" si="13"/>
        <v>12498</v>
      </c>
      <c r="O142" s="77"/>
      <c r="P142" s="78">
        <f t="shared" si="14"/>
        <v>1136</v>
      </c>
      <c r="Q142" s="79">
        <f t="shared" si="15"/>
        <v>0</v>
      </c>
      <c r="R142" s="64">
        <f t="shared" si="16"/>
        <v>1136</v>
      </c>
    </row>
    <row r="143" spans="1:18" x14ac:dyDescent="0.4">
      <c r="A143" s="81"/>
      <c r="B143" s="55"/>
      <c r="C143" s="56" t="s">
        <v>4</v>
      </c>
      <c r="D143" s="93" t="s">
        <v>25</v>
      </c>
      <c r="E143" s="94"/>
      <c r="F143" s="57"/>
      <c r="G143" s="57">
        <v>1324</v>
      </c>
      <c r="H143" s="65"/>
      <c r="I143" s="73" t="s">
        <v>23</v>
      </c>
      <c r="J143" s="74"/>
      <c r="K143" s="83"/>
      <c r="L143" s="84">
        <v>1324</v>
      </c>
      <c r="M143" s="85"/>
      <c r="N143" s="64">
        <f t="shared" si="13"/>
        <v>1324</v>
      </c>
      <c r="O143" s="77"/>
      <c r="P143" s="87">
        <f t="shared" si="14"/>
        <v>0</v>
      </c>
      <c r="Q143" s="88">
        <f t="shared" si="15"/>
        <v>98</v>
      </c>
      <c r="R143" s="86">
        <f t="shared" si="16"/>
        <v>98</v>
      </c>
    </row>
    <row r="144" spans="1:18" x14ac:dyDescent="0.4">
      <c r="A144" s="54" t="s">
        <v>89</v>
      </c>
      <c r="B144" s="55">
        <v>45448</v>
      </c>
      <c r="C144" s="56" t="s">
        <v>4</v>
      </c>
      <c r="D144" s="93" t="s">
        <v>25</v>
      </c>
      <c r="E144" s="94"/>
      <c r="F144" s="57"/>
      <c r="G144" s="57">
        <v>818</v>
      </c>
      <c r="H144" s="58"/>
      <c r="I144" s="73" t="s">
        <v>23</v>
      </c>
      <c r="J144" s="74"/>
      <c r="K144" s="75">
        <v>583</v>
      </c>
      <c r="L144" s="67">
        <v>235</v>
      </c>
      <c r="M144" s="76"/>
      <c r="N144" s="64">
        <f t="shared" si="13"/>
        <v>818</v>
      </c>
      <c r="O144" s="77"/>
      <c r="P144" s="78">
        <f t="shared" si="14"/>
        <v>53</v>
      </c>
      <c r="Q144" s="79">
        <f t="shared" si="15"/>
        <v>17</v>
      </c>
      <c r="R144" s="64">
        <f t="shared" si="16"/>
        <v>70</v>
      </c>
    </row>
    <row r="145" spans="1:18" x14ac:dyDescent="0.4">
      <c r="A145" s="54"/>
      <c r="B145" s="55"/>
      <c r="C145" s="56" t="s">
        <v>4</v>
      </c>
      <c r="D145" s="93" t="s">
        <v>25</v>
      </c>
      <c r="E145" s="94"/>
      <c r="F145" s="57"/>
      <c r="G145" s="57">
        <v>1030</v>
      </c>
      <c r="H145" s="65"/>
      <c r="I145" s="73" t="s">
        <v>23</v>
      </c>
      <c r="J145" s="74"/>
      <c r="K145" s="75">
        <v>1030</v>
      </c>
      <c r="L145" s="67"/>
      <c r="M145" s="76"/>
      <c r="N145" s="64">
        <f>IF(K145+L145+M145=0,"",K145+L145+M145)</f>
        <v>1030</v>
      </c>
      <c r="O145" s="77"/>
      <c r="P145" s="78">
        <f>ROUNDDOWN($K145/110*10,0)</f>
        <v>93</v>
      </c>
      <c r="Q145" s="79">
        <f>ROUNDDOWN($L145/108*8,0)</f>
        <v>0</v>
      </c>
      <c r="R145" s="64">
        <f>P145+Q145</f>
        <v>93</v>
      </c>
    </row>
    <row r="146" spans="1:18" x14ac:dyDescent="0.4">
      <c r="A146" s="54"/>
      <c r="B146" s="55"/>
      <c r="C146" s="56" t="s">
        <v>42</v>
      </c>
      <c r="D146" s="93" t="s">
        <v>144</v>
      </c>
      <c r="E146" s="94"/>
      <c r="F146" s="66"/>
      <c r="G146" s="67">
        <v>2398</v>
      </c>
      <c r="H146" s="65"/>
      <c r="I146" s="73" t="s">
        <v>23</v>
      </c>
      <c r="J146" s="74"/>
      <c r="K146" s="75">
        <v>2398</v>
      </c>
      <c r="L146" s="67"/>
      <c r="M146" s="76"/>
      <c r="N146" s="64">
        <f>IF(K146+L146+M146=0,"",K146+L146+M146)</f>
        <v>2398</v>
      </c>
      <c r="O146" s="77"/>
      <c r="P146" s="78">
        <f>ROUNDDOWN($K146/110*10,0)</f>
        <v>218</v>
      </c>
      <c r="Q146" s="79">
        <f>ROUNDDOWN($L146/108*8,0)</f>
        <v>0</v>
      </c>
      <c r="R146" s="64">
        <f>P146+Q146</f>
        <v>218</v>
      </c>
    </row>
    <row r="147" spans="1:18" x14ac:dyDescent="0.4">
      <c r="A147" s="54"/>
      <c r="B147" s="55"/>
      <c r="C147" s="56" t="s">
        <v>4</v>
      </c>
      <c r="D147" s="93" t="s">
        <v>25</v>
      </c>
      <c r="E147" s="94"/>
      <c r="F147" s="57"/>
      <c r="G147" s="57">
        <v>1184</v>
      </c>
      <c r="H147" s="65"/>
      <c r="I147" s="73" t="s">
        <v>23</v>
      </c>
      <c r="J147" s="74"/>
      <c r="K147" s="75"/>
      <c r="L147" s="67">
        <v>1184</v>
      </c>
      <c r="M147" s="76"/>
      <c r="N147" s="64">
        <f t="shared" si="13"/>
        <v>1184</v>
      </c>
      <c r="O147" s="77"/>
      <c r="P147" s="78">
        <f t="shared" si="14"/>
        <v>0</v>
      </c>
      <c r="Q147" s="79">
        <f t="shared" si="15"/>
        <v>87</v>
      </c>
      <c r="R147" s="64">
        <f t="shared" si="16"/>
        <v>87</v>
      </c>
    </row>
    <row r="148" spans="1:18" x14ac:dyDescent="0.4">
      <c r="A148" s="54"/>
      <c r="B148" s="55">
        <v>45449</v>
      </c>
      <c r="C148" s="56" t="s">
        <v>4</v>
      </c>
      <c r="D148" s="93" t="s">
        <v>25</v>
      </c>
      <c r="E148" s="94"/>
      <c r="F148" s="57"/>
      <c r="G148" s="57">
        <v>780</v>
      </c>
      <c r="H148" s="65"/>
      <c r="I148" s="73" t="s">
        <v>23</v>
      </c>
      <c r="J148" s="74"/>
      <c r="K148" s="75">
        <v>580</v>
      </c>
      <c r="L148" s="67">
        <v>235</v>
      </c>
      <c r="M148" s="76"/>
      <c r="N148" s="64">
        <f>IF(K148+L148+M148=0,"",K148+L148+M148)</f>
        <v>815</v>
      </c>
      <c r="O148" s="77"/>
      <c r="P148" s="78">
        <f>ROUNDDOWN($K148/110*10,0)</f>
        <v>52</v>
      </c>
      <c r="Q148" s="79">
        <f>ROUNDDOWN($L148/108*8,0)</f>
        <v>17</v>
      </c>
      <c r="R148" s="64">
        <f>P148+Q148</f>
        <v>69</v>
      </c>
    </row>
    <row r="149" spans="1:18" x14ac:dyDescent="0.4">
      <c r="A149" s="54"/>
      <c r="B149" s="55"/>
      <c r="C149" s="56" t="s">
        <v>4</v>
      </c>
      <c r="D149" s="93" t="s">
        <v>25</v>
      </c>
      <c r="E149" s="94"/>
      <c r="F149" s="57"/>
      <c r="G149" s="57">
        <v>815</v>
      </c>
      <c r="H149" s="65"/>
      <c r="I149" s="73" t="s">
        <v>23</v>
      </c>
      <c r="J149" s="74"/>
      <c r="K149" s="75">
        <v>780</v>
      </c>
      <c r="L149" s="67"/>
      <c r="M149" s="76"/>
      <c r="N149" s="64">
        <f t="shared" si="13"/>
        <v>780</v>
      </c>
      <c r="O149" s="77"/>
      <c r="P149" s="78">
        <f t="shared" si="14"/>
        <v>70</v>
      </c>
      <c r="Q149" s="79">
        <f t="shared" si="15"/>
        <v>0</v>
      </c>
      <c r="R149" s="64">
        <f t="shared" si="16"/>
        <v>70</v>
      </c>
    </row>
    <row r="150" spans="1:18" x14ac:dyDescent="0.4">
      <c r="A150" s="54"/>
      <c r="B150" s="55"/>
      <c r="C150" s="56" t="s">
        <v>40</v>
      </c>
      <c r="D150" s="93" t="s">
        <v>145</v>
      </c>
      <c r="E150" s="94"/>
      <c r="F150" s="57"/>
      <c r="G150" s="57">
        <v>8228</v>
      </c>
      <c r="H150" s="65"/>
      <c r="I150" s="73" t="s">
        <v>23</v>
      </c>
      <c r="J150" s="74"/>
      <c r="K150" s="75">
        <v>8228</v>
      </c>
      <c r="L150" s="67"/>
      <c r="M150" s="76"/>
      <c r="N150" s="64">
        <f t="shared" si="13"/>
        <v>8228</v>
      </c>
      <c r="O150" s="77"/>
      <c r="P150" s="78">
        <f t="shared" si="14"/>
        <v>748</v>
      </c>
      <c r="Q150" s="79">
        <f t="shared" si="15"/>
        <v>0</v>
      </c>
      <c r="R150" s="64">
        <f t="shared" si="16"/>
        <v>748</v>
      </c>
    </row>
    <row r="151" spans="1:18" x14ac:dyDescent="0.4">
      <c r="A151" s="54"/>
      <c r="B151" s="55"/>
      <c r="C151" s="56" t="s">
        <v>4</v>
      </c>
      <c r="D151" s="93" t="s">
        <v>25</v>
      </c>
      <c r="E151" s="94"/>
      <c r="F151" s="57"/>
      <c r="G151" s="57">
        <v>6200</v>
      </c>
      <c r="H151" s="65"/>
      <c r="I151" s="73" t="s">
        <v>23</v>
      </c>
      <c r="J151" s="74"/>
      <c r="K151" s="75">
        <v>6200</v>
      </c>
      <c r="L151" s="67"/>
      <c r="M151" s="76"/>
      <c r="N151" s="64">
        <f t="shared" si="13"/>
        <v>6200</v>
      </c>
      <c r="O151" s="77"/>
      <c r="P151" s="78">
        <f t="shared" si="14"/>
        <v>563</v>
      </c>
      <c r="Q151" s="79">
        <f t="shared" si="15"/>
        <v>0</v>
      </c>
      <c r="R151" s="64">
        <f t="shared" si="16"/>
        <v>563</v>
      </c>
    </row>
    <row r="152" spans="1:18" x14ac:dyDescent="0.4">
      <c r="A152" s="54"/>
      <c r="B152" s="55"/>
      <c r="C152" s="56" t="s">
        <v>4</v>
      </c>
      <c r="D152" s="93" t="s">
        <v>25</v>
      </c>
      <c r="E152" s="94"/>
      <c r="F152" s="57"/>
      <c r="G152" s="57">
        <v>575</v>
      </c>
      <c r="H152" s="65"/>
      <c r="I152" s="73" t="s">
        <v>23</v>
      </c>
      <c r="J152" s="74"/>
      <c r="K152" s="75"/>
      <c r="L152" s="67">
        <v>575</v>
      </c>
      <c r="M152" s="76"/>
      <c r="N152" s="64">
        <f>IF(K152+L152+M152=0,"",K152+L152+M152)</f>
        <v>575</v>
      </c>
      <c r="O152" s="77"/>
      <c r="P152" s="78">
        <f>ROUNDDOWN($K152/110*10,0)</f>
        <v>0</v>
      </c>
      <c r="Q152" s="79">
        <f>ROUNDDOWN($L152/108*8,0)</f>
        <v>42</v>
      </c>
      <c r="R152" s="64">
        <f>P152+Q152</f>
        <v>42</v>
      </c>
    </row>
    <row r="153" spans="1:18" x14ac:dyDescent="0.4">
      <c r="A153" s="54"/>
      <c r="B153" s="55">
        <v>45450</v>
      </c>
      <c r="C153" s="56" t="s">
        <v>4</v>
      </c>
      <c r="D153" s="93" t="s">
        <v>25</v>
      </c>
      <c r="E153" s="94"/>
      <c r="F153" s="57"/>
      <c r="G153" s="57">
        <v>979</v>
      </c>
      <c r="H153" s="65"/>
      <c r="I153" s="73" t="s">
        <v>23</v>
      </c>
      <c r="J153" s="74"/>
      <c r="K153" s="75"/>
      <c r="L153" s="67">
        <v>979</v>
      </c>
      <c r="M153" s="76"/>
      <c r="N153" s="64">
        <f>IF(K153+L153+M153=0,"",K153+L153+M153)</f>
        <v>979</v>
      </c>
      <c r="O153" s="77"/>
      <c r="P153" s="78">
        <f>ROUNDDOWN($K153/110*10,0)</f>
        <v>0</v>
      </c>
      <c r="Q153" s="79">
        <f>ROUNDDOWN($L153/108*8,0)</f>
        <v>72</v>
      </c>
      <c r="R153" s="64">
        <f>P153+Q153</f>
        <v>72</v>
      </c>
    </row>
    <row r="154" spans="1:18" x14ac:dyDescent="0.4">
      <c r="A154" s="54"/>
      <c r="B154" s="55"/>
      <c r="C154" s="56" t="s">
        <v>4</v>
      </c>
      <c r="D154" s="93" t="s">
        <v>25</v>
      </c>
      <c r="E154" s="94"/>
      <c r="F154" s="57"/>
      <c r="G154" s="57">
        <v>2451</v>
      </c>
      <c r="H154" s="65"/>
      <c r="I154" s="73" t="s">
        <v>23</v>
      </c>
      <c r="J154" s="74"/>
      <c r="K154" s="75">
        <v>1743</v>
      </c>
      <c r="L154" s="67">
        <v>708</v>
      </c>
      <c r="M154" s="76"/>
      <c r="N154" s="64">
        <f t="shared" si="13"/>
        <v>2451</v>
      </c>
      <c r="O154" s="77"/>
      <c r="P154" s="78">
        <f t="shared" si="14"/>
        <v>158</v>
      </c>
      <c r="Q154" s="79">
        <f t="shared" si="15"/>
        <v>52</v>
      </c>
      <c r="R154" s="64">
        <f t="shared" si="16"/>
        <v>210</v>
      </c>
    </row>
    <row r="155" spans="1:18" x14ac:dyDescent="0.4">
      <c r="A155" s="54"/>
      <c r="B155" s="55"/>
      <c r="C155" s="56" t="s">
        <v>4</v>
      </c>
      <c r="D155" s="93" t="s">
        <v>135</v>
      </c>
      <c r="E155" s="94"/>
      <c r="F155" s="57"/>
      <c r="G155" s="57">
        <v>6160</v>
      </c>
      <c r="H155" s="65"/>
      <c r="I155" s="73" t="s">
        <v>23</v>
      </c>
      <c r="J155" s="74"/>
      <c r="K155" s="75">
        <v>4885</v>
      </c>
      <c r="L155" s="67"/>
      <c r="M155" s="80">
        <v>1275</v>
      </c>
      <c r="N155" s="64">
        <f t="shared" si="13"/>
        <v>6160</v>
      </c>
      <c r="O155" s="77"/>
      <c r="P155" s="78">
        <f t="shared" si="14"/>
        <v>444</v>
      </c>
      <c r="Q155" s="79">
        <f t="shared" si="15"/>
        <v>0</v>
      </c>
      <c r="R155" s="64">
        <f t="shared" si="16"/>
        <v>444</v>
      </c>
    </row>
    <row r="156" spans="1:18" x14ac:dyDescent="0.4">
      <c r="A156" s="54"/>
      <c r="B156" s="55"/>
      <c r="C156" s="56" t="s">
        <v>4</v>
      </c>
      <c r="D156" s="93" t="s">
        <v>146</v>
      </c>
      <c r="E156" s="94"/>
      <c r="F156" s="57"/>
      <c r="G156" s="57">
        <v>37300</v>
      </c>
      <c r="H156" s="65"/>
      <c r="I156" s="73" t="s">
        <v>23</v>
      </c>
      <c r="J156" s="74"/>
      <c r="K156" s="75">
        <v>37300</v>
      </c>
      <c r="L156" s="67"/>
      <c r="M156" s="76"/>
      <c r="N156" s="64">
        <f t="shared" si="13"/>
        <v>37300</v>
      </c>
      <c r="O156" s="77"/>
      <c r="P156" s="78">
        <f t="shared" si="14"/>
        <v>3390</v>
      </c>
      <c r="Q156" s="79">
        <f t="shared" si="15"/>
        <v>0</v>
      </c>
      <c r="R156" s="64">
        <f t="shared" si="16"/>
        <v>3390</v>
      </c>
    </row>
    <row r="157" spans="1:18" x14ac:dyDescent="0.4">
      <c r="A157" s="54"/>
      <c r="B157" s="55">
        <v>45451</v>
      </c>
      <c r="C157" s="56" t="s">
        <v>4</v>
      </c>
      <c r="D157" s="93" t="s">
        <v>147</v>
      </c>
      <c r="E157" s="94"/>
      <c r="F157" s="57"/>
      <c r="G157" s="57">
        <v>8000</v>
      </c>
      <c r="H157" s="65"/>
      <c r="I157" s="73" t="s">
        <v>23</v>
      </c>
      <c r="J157" s="74"/>
      <c r="K157" s="75">
        <v>8000</v>
      </c>
      <c r="L157" s="67"/>
      <c r="M157" s="76"/>
      <c r="N157" s="64">
        <f t="shared" si="13"/>
        <v>8000</v>
      </c>
      <c r="O157" s="77"/>
      <c r="P157" s="78">
        <f t="shared" si="14"/>
        <v>727</v>
      </c>
      <c r="Q157" s="79">
        <f t="shared" si="15"/>
        <v>0</v>
      </c>
      <c r="R157" s="64">
        <f t="shared" si="16"/>
        <v>727</v>
      </c>
    </row>
    <row r="158" spans="1:18" x14ac:dyDescent="0.4">
      <c r="A158" s="54"/>
      <c r="B158" s="55"/>
      <c r="C158" s="56" t="s">
        <v>4</v>
      </c>
      <c r="D158" s="93" t="s">
        <v>28</v>
      </c>
      <c r="E158" s="94"/>
      <c r="F158" s="57"/>
      <c r="G158" s="57">
        <v>1000</v>
      </c>
      <c r="H158" s="65"/>
      <c r="I158" s="73" t="s">
        <v>23</v>
      </c>
      <c r="J158" s="74"/>
      <c r="K158" s="75">
        <v>1000</v>
      </c>
      <c r="L158" s="67"/>
      <c r="M158" s="76"/>
      <c r="N158" s="64">
        <f t="shared" si="13"/>
        <v>1000</v>
      </c>
      <c r="O158" s="77"/>
      <c r="P158" s="78">
        <f t="shared" si="14"/>
        <v>90</v>
      </c>
      <c r="Q158" s="79">
        <f t="shared" si="15"/>
        <v>0</v>
      </c>
      <c r="R158" s="64">
        <f t="shared" si="16"/>
        <v>90</v>
      </c>
    </row>
    <row r="159" spans="1:18" x14ac:dyDescent="0.4">
      <c r="A159" s="54"/>
      <c r="B159" s="55"/>
      <c r="C159" s="56" t="s">
        <v>4</v>
      </c>
      <c r="D159" s="93" t="s">
        <v>25</v>
      </c>
      <c r="E159" s="94"/>
      <c r="F159" s="57"/>
      <c r="G159" s="57">
        <v>2500</v>
      </c>
      <c r="H159" s="65"/>
      <c r="I159" s="73" t="s">
        <v>23</v>
      </c>
      <c r="J159" s="74"/>
      <c r="K159" s="75">
        <v>1163</v>
      </c>
      <c r="L159" s="67">
        <v>1337</v>
      </c>
      <c r="M159" s="76"/>
      <c r="N159" s="64">
        <f t="shared" si="13"/>
        <v>2500</v>
      </c>
      <c r="O159" s="77"/>
      <c r="P159" s="78">
        <f t="shared" si="14"/>
        <v>105</v>
      </c>
      <c r="Q159" s="79">
        <f t="shared" si="15"/>
        <v>99</v>
      </c>
      <c r="R159" s="64">
        <f t="shared" si="16"/>
        <v>204</v>
      </c>
    </row>
    <row r="160" spans="1:18" x14ac:dyDescent="0.4">
      <c r="A160" s="54"/>
      <c r="B160" s="55"/>
      <c r="C160" s="56" t="s">
        <v>4</v>
      </c>
      <c r="D160" s="93" t="s">
        <v>25</v>
      </c>
      <c r="E160" s="94"/>
      <c r="F160" s="57"/>
      <c r="G160" s="57">
        <v>2120</v>
      </c>
      <c r="H160" s="65"/>
      <c r="I160" s="73" t="s">
        <v>23</v>
      </c>
      <c r="J160" s="74"/>
      <c r="K160" s="75">
        <v>2120</v>
      </c>
      <c r="L160" s="67"/>
      <c r="M160" s="76"/>
      <c r="N160" s="64">
        <f t="shared" si="13"/>
        <v>2120</v>
      </c>
      <c r="O160" s="77"/>
      <c r="P160" s="78">
        <f t="shared" si="14"/>
        <v>192</v>
      </c>
      <c r="Q160" s="79">
        <f t="shared" si="15"/>
        <v>0</v>
      </c>
      <c r="R160" s="64">
        <f t="shared" si="16"/>
        <v>192</v>
      </c>
    </row>
    <row r="161" spans="1:18" x14ac:dyDescent="0.4">
      <c r="A161" s="54"/>
      <c r="B161" s="55"/>
      <c r="C161" s="56" t="s">
        <v>63</v>
      </c>
      <c r="D161" s="93" t="s">
        <v>148</v>
      </c>
      <c r="E161" s="94"/>
      <c r="F161" s="57"/>
      <c r="G161" s="57">
        <v>7405</v>
      </c>
      <c r="H161" s="65"/>
      <c r="I161" s="73" t="s">
        <v>23</v>
      </c>
      <c r="J161" s="74"/>
      <c r="K161" s="75"/>
      <c r="L161" s="67">
        <v>7405</v>
      </c>
      <c r="M161" s="76"/>
      <c r="N161" s="64">
        <f t="shared" si="13"/>
        <v>7405</v>
      </c>
      <c r="O161" s="77"/>
      <c r="P161" s="78">
        <f t="shared" si="14"/>
        <v>0</v>
      </c>
      <c r="Q161" s="79">
        <f t="shared" si="15"/>
        <v>548</v>
      </c>
      <c r="R161" s="64">
        <f t="shared" si="16"/>
        <v>548</v>
      </c>
    </row>
    <row r="162" spans="1:18" x14ac:dyDescent="0.4">
      <c r="A162" s="54"/>
      <c r="B162" s="55">
        <v>45460</v>
      </c>
      <c r="C162" s="56" t="s">
        <v>4</v>
      </c>
      <c r="D162" s="93" t="s">
        <v>135</v>
      </c>
      <c r="E162" s="94"/>
      <c r="F162" s="57"/>
      <c r="G162" s="57">
        <v>8539</v>
      </c>
      <c r="H162" s="65"/>
      <c r="I162" s="73" t="s">
        <v>23</v>
      </c>
      <c r="J162" s="74"/>
      <c r="K162" s="75">
        <v>6635</v>
      </c>
      <c r="L162" s="67"/>
      <c r="M162" s="76">
        <v>1904</v>
      </c>
      <c r="N162" s="64">
        <f t="shared" si="13"/>
        <v>8539</v>
      </c>
      <c r="O162" s="77"/>
      <c r="P162" s="78">
        <f t="shared" si="14"/>
        <v>603</v>
      </c>
      <c r="Q162" s="79">
        <f t="shared" si="15"/>
        <v>0</v>
      </c>
      <c r="R162" s="64">
        <f t="shared" si="16"/>
        <v>603</v>
      </c>
    </row>
    <row r="163" spans="1:18" x14ac:dyDescent="0.4">
      <c r="A163" s="54"/>
      <c r="B163" s="55"/>
      <c r="C163" s="56"/>
      <c r="D163" s="93"/>
      <c r="E163" s="94"/>
      <c r="F163" s="57"/>
      <c r="G163" s="57"/>
      <c r="H163" s="65"/>
      <c r="I163" s="73"/>
      <c r="J163" s="74"/>
      <c r="K163" s="75"/>
      <c r="L163" s="67"/>
      <c r="M163" s="76"/>
      <c r="N163" s="64" t="str">
        <f t="shared" si="13"/>
        <v/>
      </c>
      <c r="O163" s="77"/>
      <c r="P163" s="78">
        <f t="shared" si="14"/>
        <v>0</v>
      </c>
      <c r="Q163" s="79">
        <f t="shared" si="15"/>
        <v>0</v>
      </c>
      <c r="R163" s="64">
        <f t="shared" si="16"/>
        <v>0</v>
      </c>
    </row>
    <row r="164" spans="1:18" x14ac:dyDescent="0.4">
      <c r="A164" s="54"/>
      <c r="B164" s="55"/>
      <c r="C164" s="56" t="s">
        <v>4</v>
      </c>
      <c r="D164" s="100" t="s">
        <v>149</v>
      </c>
      <c r="E164" s="101"/>
      <c r="F164" s="57"/>
      <c r="G164" s="57">
        <f>300*18</f>
        <v>5400</v>
      </c>
      <c r="H164" s="65"/>
      <c r="I164" s="73" t="s">
        <v>29</v>
      </c>
      <c r="J164" s="74"/>
      <c r="K164" s="75">
        <v>5400</v>
      </c>
      <c r="L164" s="67"/>
      <c r="M164" s="76"/>
      <c r="N164" s="64">
        <f>IF(K164+L164+M164=0,"",K164+L164+M164)</f>
        <v>5400</v>
      </c>
      <c r="O164" s="77"/>
      <c r="P164" s="78">
        <f>ROUNDDOWN($K164/110*10,0)</f>
        <v>490</v>
      </c>
      <c r="Q164" s="79">
        <f>ROUNDDOWN($L164/108*8,0)</f>
        <v>0</v>
      </c>
      <c r="R164" s="64">
        <f>P164+Q164</f>
        <v>490</v>
      </c>
    </row>
    <row r="165" spans="1:18" ht="19.5" thickBot="1" x14ac:dyDescent="0.45">
      <c r="A165" s="3"/>
      <c r="B165" s="4"/>
      <c r="C165" s="5"/>
      <c r="D165" s="95"/>
      <c r="E165" s="96"/>
      <c r="F165" s="22"/>
      <c r="G165" s="22"/>
      <c r="I165" s="9"/>
      <c r="J165" s="11"/>
      <c r="K165" s="25"/>
      <c r="L165" s="21"/>
      <c r="M165" s="26"/>
      <c r="N165" s="27" t="str">
        <f t="shared" ref="N165" si="17">IF(K165+L165+M165=0,"",K165+L165+M165)</f>
        <v/>
      </c>
    </row>
    <row r="166" spans="1:18" ht="19.5" thickBot="1" x14ac:dyDescent="0.45">
      <c r="A166" s="2"/>
      <c r="B166" s="2"/>
      <c r="C166" s="2"/>
      <c r="D166" s="39"/>
      <c r="E166" s="43" t="s">
        <v>13</v>
      </c>
      <c r="F166" s="40"/>
      <c r="G166" s="41">
        <f>SUM(G2:G165)</f>
        <v>832141</v>
      </c>
      <c r="I166" s="2"/>
      <c r="K166" s="34">
        <f>SUM(K2:K165)</f>
        <v>752938</v>
      </c>
      <c r="L166" s="24">
        <f>SUM(L2:L165)</f>
        <v>64599</v>
      </c>
      <c r="M166" s="35">
        <f>SUM(M2:M165)</f>
        <v>9774</v>
      </c>
      <c r="N166" s="36">
        <f>SUM(N2:N165)</f>
        <v>827311</v>
      </c>
    </row>
  </sheetData>
  <sheetProtection formatColumns="0" pivotTables="0"/>
  <mergeCells count="146">
    <mergeCell ref="D163:E163"/>
    <mergeCell ref="D164:E164"/>
    <mergeCell ref="D157:E157"/>
    <mergeCell ref="D158:E158"/>
    <mergeCell ref="D159:E159"/>
    <mergeCell ref="D160:E160"/>
    <mergeCell ref="D161:E161"/>
    <mergeCell ref="D162:E162"/>
    <mergeCell ref="D151:E151"/>
    <mergeCell ref="D152:E152"/>
    <mergeCell ref="D153:E153"/>
    <mergeCell ref="D154:E154"/>
    <mergeCell ref="D155:E155"/>
    <mergeCell ref="D156:E156"/>
    <mergeCell ref="D145:E145"/>
    <mergeCell ref="D146:E146"/>
    <mergeCell ref="D147:E147"/>
    <mergeCell ref="D148:E148"/>
    <mergeCell ref="D149:E149"/>
    <mergeCell ref="D150:E150"/>
    <mergeCell ref="D139:E139"/>
    <mergeCell ref="D140:E140"/>
    <mergeCell ref="D141:E141"/>
    <mergeCell ref="D142:E142"/>
    <mergeCell ref="D143:E143"/>
    <mergeCell ref="D144:E144"/>
    <mergeCell ref="D133:E133"/>
    <mergeCell ref="D134:E134"/>
    <mergeCell ref="D135:E135"/>
    <mergeCell ref="D136:E136"/>
    <mergeCell ref="D137:E137"/>
    <mergeCell ref="D138:E138"/>
    <mergeCell ref="D127:E127"/>
    <mergeCell ref="D128:E128"/>
    <mergeCell ref="D129:E129"/>
    <mergeCell ref="D130:E130"/>
    <mergeCell ref="D131:E131"/>
    <mergeCell ref="D132:E132"/>
    <mergeCell ref="D121:E121"/>
    <mergeCell ref="D122:E122"/>
    <mergeCell ref="D123:E123"/>
    <mergeCell ref="D124:E124"/>
    <mergeCell ref="D125:E125"/>
    <mergeCell ref="D126:E126"/>
    <mergeCell ref="D115:E115"/>
    <mergeCell ref="D116:E116"/>
    <mergeCell ref="D117:E117"/>
    <mergeCell ref="D118:E118"/>
    <mergeCell ref="D119:E119"/>
    <mergeCell ref="D120:E120"/>
    <mergeCell ref="D109:E109"/>
    <mergeCell ref="D110:E110"/>
    <mergeCell ref="D111:E111"/>
    <mergeCell ref="D112:E112"/>
    <mergeCell ref="D113:E113"/>
    <mergeCell ref="D114:E114"/>
    <mergeCell ref="D103:E103"/>
    <mergeCell ref="D104:E104"/>
    <mergeCell ref="D105:E105"/>
    <mergeCell ref="D106:E106"/>
    <mergeCell ref="D107:E107"/>
    <mergeCell ref="D108:E108"/>
    <mergeCell ref="D97:E97"/>
    <mergeCell ref="D98:E98"/>
    <mergeCell ref="D99:E99"/>
    <mergeCell ref="D100:E100"/>
    <mergeCell ref="D101:E101"/>
    <mergeCell ref="D102:E102"/>
    <mergeCell ref="D91:E91"/>
    <mergeCell ref="D92:E92"/>
    <mergeCell ref="D93:E93"/>
    <mergeCell ref="D94:E94"/>
    <mergeCell ref="D95:E95"/>
    <mergeCell ref="D96:E96"/>
    <mergeCell ref="D85:E85"/>
    <mergeCell ref="D86:E86"/>
    <mergeCell ref="D87:E87"/>
    <mergeCell ref="D88:E88"/>
    <mergeCell ref="D89:E89"/>
    <mergeCell ref="D90:E90"/>
    <mergeCell ref="D79:E79"/>
    <mergeCell ref="D80:E80"/>
    <mergeCell ref="D81:E81"/>
    <mergeCell ref="D82:E82"/>
    <mergeCell ref="D83:E83"/>
    <mergeCell ref="D84:E84"/>
    <mergeCell ref="D73:E73"/>
    <mergeCell ref="D74:E74"/>
    <mergeCell ref="D75:E75"/>
    <mergeCell ref="D76:E76"/>
    <mergeCell ref="D77:E77"/>
    <mergeCell ref="D78:E78"/>
    <mergeCell ref="D65:E65"/>
    <mergeCell ref="D66:E66"/>
    <mergeCell ref="D67:E67"/>
    <mergeCell ref="D68:E68"/>
    <mergeCell ref="D69:E69"/>
    <mergeCell ref="D70:E70"/>
    <mergeCell ref="D59:E59"/>
    <mergeCell ref="D60:E60"/>
    <mergeCell ref="D61:E61"/>
    <mergeCell ref="D62:E62"/>
    <mergeCell ref="D63:E63"/>
    <mergeCell ref="D64:E64"/>
    <mergeCell ref="D53:E53"/>
    <mergeCell ref="D54:E54"/>
    <mergeCell ref="D55:E55"/>
    <mergeCell ref="D56:E56"/>
    <mergeCell ref="D57:E57"/>
    <mergeCell ref="D58:E58"/>
    <mergeCell ref="D165:E165"/>
    <mergeCell ref="D23:E23"/>
    <mergeCell ref="D24:E24"/>
    <mergeCell ref="D25:E25"/>
    <mergeCell ref="D26:E26"/>
    <mergeCell ref="D27:E27"/>
    <mergeCell ref="D28:E28"/>
    <mergeCell ref="D44:E44"/>
    <mergeCell ref="D71:E71"/>
    <mergeCell ref="D72:E72"/>
    <mergeCell ref="D49:E49"/>
    <mergeCell ref="D50:E50"/>
    <mergeCell ref="D51:E51"/>
    <mergeCell ref="D52:E52"/>
    <mergeCell ref="D41:E41"/>
    <mergeCell ref="D42:E42"/>
    <mergeCell ref="D45:E45"/>
    <mergeCell ref="D46:E46"/>
    <mergeCell ref="D47:E47"/>
    <mergeCell ref="D48:E48"/>
    <mergeCell ref="D33:E33"/>
    <mergeCell ref="D34:E34"/>
    <mergeCell ref="D35:E35"/>
    <mergeCell ref="D36:E36"/>
    <mergeCell ref="D2:E2"/>
    <mergeCell ref="D21:E21"/>
    <mergeCell ref="D22:E22"/>
    <mergeCell ref="D39:E39"/>
    <mergeCell ref="D40:E40"/>
    <mergeCell ref="D43:E43"/>
    <mergeCell ref="D29:E29"/>
    <mergeCell ref="D30:E30"/>
    <mergeCell ref="D31:E31"/>
    <mergeCell ref="D32:E32"/>
    <mergeCell ref="D37:E37"/>
    <mergeCell ref="D38:E38"/>
  </mergeCells>
  <phoneticPr fontId="2"/>
  <conditionalFormatting sqref="P23:R38">
    <cfRule type="cellIs" dxfId="8" priority="6" operator="equal">
      <formula>0</formula>
    </cfRule>
  </conditionalFormatting>
  <conditionalFormatting sqref="P41:R42">
    <cfRule type="cellIs" dxfId="7" priority="5" operator="equal">
      <formula>0</formula>
    </cfRule>
  </conditionalFormatting>
  <conditionalFormatting sqref="P45:R70">
    <cfRule type="cellIs" dxfId="6" priority="4" operator="equal">
      <formula>0</formula>
    </cfRule>
  </conditionalFormatting>
  <conditionalFormatting sqref="P73:R164">
    <cfRule type="cellIs" dxfId="5" priority="1" operator="equal">
      <formula>0</formula>
    </cfRule>
  </conditionalFormatting>
  <dataValidations disablePrompts="1" count="3">
    <dataValidation allowBlank="1" showInputMessage="1" showErrorMessage="1" promptTitle="西暦入力" prompt="〇〇〇〇/〇〇/〇〇で入力ください。" sqref="B2:B165" xr:uid="{D4366E1C-31CA-410A-B793-B22099850FB2}"/>
    <dataValidation type="list" allowBlank="1" showInputMessage="1" showErrorMessage="1" sqref="I2:J165" xr:uid="{078D38A6-E826-49B1-AF5C-863EBE5A97AE}">
      <formula1>"有,無,不要"</formula1>
    </dataValidation>
    <dataValidation type="list" allowBlank="1" showInputMessage="1" showErrorMessage="1" sqref="C2:C165" xr:uid="{C1A5CAA2-82D1-4E67-B69D-F5A86416DD06}">
      <formula1>"旅費交通費,仕入材料,現場関係費,交際費,厚生費,水道光熱費,通信費,租税公課,事務消耗品費,運賃,消耗品費,諸会費,諸雑費"</formula1>
    </dataValidation>
  </dataValidations>
  <pageMargins left="0.51181102362204722" right="0.11811023622047245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30EB-3784-4A3A-BE1E-C4228B6B1CE7}">
  <sheetPr>
    <tabColor rgb="FFFF0000"/>
  </sheetPr>
  <dimension ref="A1:U140"/>
  <sheetViews>
    <sheetView tabSelected="1" zoomScaleNormal="100" workbookViewId="0">
      <selection activeCell="D137" sqref="D137:E137"/>
    </sheetView>
  </sheetViews>
  <sheetFormatPr defaultRowHeight="18.75" outlineLevelCol="1" x14ac:dyDescent="0.4"/>
  <cols>
    <col min="1" max="1" width="6" customWidth="1"/>
    <col min="2" max="2" width="8.875" customWidth="1"/>
    <col min="3" max="3" width="10.5" customWidth="1"/>
    <col min="4" max="4" width="35.125" customWidth="1"/>
    <col min="5" max="5" width="5.5" customWidth="1"/>
    <col min="6" max="7" width="10.625" customWidth="1"/>
    <col min="8" max="8" width="1.5" customWidth="1" outlineLevel="1"/>
    <col min="9" max="9" width="7.25" customWidth="1" outlineLevel="1"/>
    <col min="10" max="10" width="0.875" customWidth="1" outlineLevel="1"/>
    <col min="11" max="13" width="9.25" customWidth="1" outlineLevel="1"/>
    <col min="14" max="14" width="10.25" customWidth="1" outlineLevel="1"/>
    <col min="15" max="15" width="9" customWidth="1" outlineLevel="1"/>
    <col min="16" max="16" width="11.625" bestFit="1" customWidth="1"/>
    <col min="17" max="17" width="15.875" bestFit="1" customWidth="1"/>
    <col min="18" max="18" width="14.625" bestFit="1" customWidth="1"/>
    <col min="19" max="19" width="15.5" bestFit="1" customWidth="1"/>
    <col min="20" max="20" width="11.375" bestFit="1" customWidth="1"/>
  </cols>
  <sheetData>
    <row r="1" spans="1:18" x14ac:dyDescent="0.4">
      <c r="A1" s="12" t="s">
        <v>20</v>
      </c>
      <c r="B1" s="13" t="s">
        <v>7</v>
      </c>
      <c r="C1" s="13" t="s">
        <v>5</v>
      </c>
      <c r="D1" s="42" t="s">
        <v>6</v>
      </c>
      <c r="E1" s="51" t="s">
        <v>16</v>
      </c>
      <c r="F1" s="14" t="s">
        <v>0</v>
      </c>
      <c r="G1" s="13" t="s">
        <v>1</v>
      </c>
      <c r="H1" s="37" t="s">
        <v>11</v>
      </c>
      <c r="I1" s="15" t="s">
        <v>3</v>
      </c>
      <c r="J1" s="38" t="s">
        <v>12</v>
      </c>
      <c r="K1" s="16" t="s">
        <v>8</v>
      </c>
      <c r="L1" s="17" t="s">
        <v>9</v>
      </c>
      <c r="M1" s="18" t="s">
        <v>2</v>
      </c>
      <c r="N1" s="19" t="s">
        <v>10</v>
      </c>
    </row>
    <row r="2" spans="1:18" x14ac:dyDescent="0.4">
      <c r="A2" s="3"/>
      <c r="B2" s="4"/>
      <c r="C2" s="5"/>
      <c r="D2" s="95" t="s">
        <v>153</v>
      </c>
      <c r="E2" s="96"/>
      <c r="F2" s="20"/>
      <c r="G2" s="21"/>
      <c r="H2" s="1"/>
      <c r="I2" s="9"/>
      <c r="J2" s="11"/>
      <c r="K2" s="25"/>
      <c r="L2" s="21"/>
      <c r="M2" s="26"/>
      <c r="N2" s="27" t="str">
        <f t="shared" ref="N2:N138" si="0">IF(K2+L2+M2=0,"",K2+L2+M2)</f>
        <v/>
      </c>
    </row>
    <row r="3" spans="1:18" x14ac:dyDescent="0.4">
      <c r="A3" s="3" t="s">
        <v>110</v>
      </c>
      <c r="B3" s="4">
        <v>45460</v>
      </c>
      <c r="C3" s="5" t="s">
        <v>4</v>
      </c>
      <c r="D3" s="95" t="s">
        <v>14</v>
      </c>
      <c r="E3" s="96"/>
      <c r="F3" s="20"/>
      <c r="G3" s="21">
        <v>914</v>
      </c>
      <c r="H3" s="1"/>
      <c r="I3" s="9" t="s">
        <v>23</v>
      </c>
      <c r="J3" s="11"/>
      <c r="K3" s="25"/>
      <c r="L3" s="21">
        <v>914</v>
      </c>
      <c r="M3" s="26"/>
      <c r="N3" s="27">
        <f t="shared" si="0"/>
        <v>914</v>
      </c>
      <c r="O3" s="28"/>
      <c r="P3" s="69">
        <f t="shared" ref="P3:P12" si="1">ROUNDDOWN($K3/110*10,0)</f>
        <v>0</v>
      </c>
      <c r="Q3" s="70">
        <f t="shared" ref="Q3:Q12" si="2">ROUNDDOWN($L3/108*8,0)</f>
        <v>67</v>
      </c>
      <c r="R3" s="27">
        <f t="shared" ref="R3:R12" si="3">P3+Q3</f>
        <v>67</v>
      </c>
    </row>
    <row r="4" spans="1:18" x14ac:dyDescent="0.4">
      <c r="A4" s="3" t="s">
        <v>39</v>
      </c>
      <c r="B4" s="4">
        <v>45461</v>
      </c>
      <c r="C4" s="5" t="s">
        <v>4</v>
      </c>
      <c r="D4" s="95" t="s">
        <v>14</v>
      </c>
      <c r="E4" s="96"/>
      <c r="F4" s="22"/>
      <c r="G4" s="22">
        <v>932</v>
      </c>
      <c r="I4" s="9" t="s">
        <v>23</v>
      </c>
      <c r="J4" s="11"/>
      <c r="K4" s="25"/>
      <c r="L4" s="21">
        <v>932</v>
      </c>
      <c r="M4" s="26"/>
      <c r="N4" s="27">
        <f t="shared" si="0"/>
        <v>932</v>
      </c>
      <c r="O4" s="28"/>
      <c r="P4" s="69">
        <f t="shared" si="1"/>
        <v>0</v>
      </c>
      <c r="Q4" s="70">
        <f t="shared" si="2"/>
        <v>69</v>
      </c>
      <c r="R4" s="27">
        <f t="shared" si="3"/>
        <v>69</v>
      </c>
    </row>
    <row r="5" spans="1:18" x14ac:dyDescent="0.4">
      <c r="A5" s="3" t="s">
        <v>39</v>
      </c>
      <c r="B5" s="4">
        <v>45462</v>
      </c>
      <c r="C5" s="5" t="s">
        <v>4</v>
      </c>
      <c r="D5" s="95" t="s">
        <v>14</v>
      </c>
      <c r="E5" s="96"/>
      <c r="F5" s="22"/>
      <c r="G5" s="22">
        <v>808</v>
      </c>
      <c r="I5" s="9" t="s">
        <v>23</v>
      </c>
      <c r="J5" s="11"/>
      <c r="K5" s="25"/>
      <c r="L5" s="21">
        <v>808</v>
      </c>
      <c r="M5" s="26"/>
      <c r="N5" s="27">
        <f t="shared" si="0"/>
        <v>808</v>
      </c>
      <c r="O5" s="28"/>
      <c r="P5" s="69">
        <f t="shared" si="1"/>
        <v>0</v>
      </c>
      <c r="Q5" s="70">
        <f t="shared" si="2"/>
        <v>59</v>
      </c>
      <c r="R5" s="27">
        <f t="shared" si="3"/>
        <v>59</v>
      </c>
    </row>
    <row r="6" spans="1:18" x14ac:dyDescent="0.4">
      <c r="A6" s="3" t="s">
        <v>39</v>
      </c>
      <c r="B6" s="4">
        <v>45463</v>
      </c>
      <c r="C6" s="5" t="s">
        <v>4</v>
      </c>
      <c r="D6" s="95" t="s">
        <v>14</v>
      </c>
      <c r="E6" s="96"/>
      <c r="F6" s="22"/>
      <c r="G6" s="22">
        <v>954</v>
      </c>
      <c r="I6" s="9" t="s">
        <v>23</v>
      </c>
      <c r="J6" s="11"/>
      <c r="K6" s="25"/>
      <c r="L6" s="21">
        <v>954</v>
      </c>
      <c r="M6" s="26"/>
      <c r="N6" s="27">
        <f t="shared" si="0"/>
        <v>954</v>
      </c>
      <c r="O6" s="28"/>
      <c r="P6" s="69">
        <f t="shared" si="1"/>
        <v>0</v>
      </c>
      <c r="Q6" s="70">
        <f t="shared" si="2"/>
        <v>70</v>
      </c>
      <c r="R6" s="27">
        <f t="shared" si="3"/>
        <v>70</v>
      </c>
    </row>
    <row r="7" spans="1:18" x14ac:dyDescent="0.4">
      <c r="A7" s="3" t="s">
        <v>39</v>
      </c>
      <c r="B7" s="4">
        <v>45465</v>
      </c>
      <c r="C7" s="5" t="s">
        <v>4</v>
      </c>
      <c r="D7" s="95" t="s">
        <v>151</v>
      </c>
      <c r="E7" s="96"/>
      <c r="F7" s="22"/>
      <c r="G7" s="22">
        <v>1760</v>
      </c>
      <c r="I7" s="9" t="s">
        <v>23</v>
      </c>
      <c r="J7" s="11"/>
      <c r="K7" s="25">
        <v>1760</v>
      </c>
      <c r="L7" s="21"/>
      <c r="M7" s="26"/>
      <c r="N7" s="27">
        <f t="shared" si="0"/>
        <v>1760</v>
      </c>
      <c r="O7" s="28"/>
      <c r="P7" s="69">
        <f t="shared" si="1"/>
        <v>160</v>
      </c>
      <c r="Q7" s="70">
        <f t="shared" si="2"/>
        <v>0</v>
      </c>
      <c r="R7" s="27">
        <f t="shared" si="3"/>
        <v>160</v>
      </c>
    </row>
    <row r="8" spans="1:18" x14ac:dyDescent="0.4">
      <c r="A8" s="3" t="s">
        <v>39</v>
      </c>
      <c r="B8" s="4">
        <v>45467</v>
      </c>
      <c r="C8" s="5" t="s">
        <v>4</v>
      </c>
      <c r="D8" s="95" t="s">
        <v>14</v>
      </c>
      <c r="E8" s="96"/>
      <c r="F8" s="22"/>
      <c r="G8" s="22">
        <v>999</v>
      </c>
      <c r="I8" s="9" t="s">
        <v>23</v>
      </c>
      <c r="J8" s="11"/>
      <c r="K8" s="25"/>
      <c r="L8" s="21">
        <v>999</v>
      </c>
      <c r="M8" s="26"/>
      <c r="N8" s="27">
        <f t="shared" si="0"/>
        <v>999</v>
      </c>
      <c r="O8" s="28"/>
      <c r="P8" s="69">
        <f t="shared" si="1"/>
        <v>0</v>
      </c>
      <c r="Q8" s="70">
        <f t="shared" si="2"/>
        <v>74</v>
      </c>
      <c r="R8" s="27">
        <f t="shared" si="3"/>
        <v>74</v>
      </c>
    </row>
    <row r="9" spans="1:18" x14ac:dyDescent="0.4">
      <c r="A9" s="3" t="s">
        <v>39</v>
      </c>
      <c r="B9" s="4">
        <v>45468</v>
      </c>
      <c r="C9" s="5" t="s">
        <v>4</v>
      </c>
      <c r="D9" s="95" t="s">
        <v>14</v>
      </c>
      <c r="E9" s="96"/>
      <c r="F9" s="22"/>
      <c r="G9" s="22">
        <v>886</v>
      </c>
      <c r="I9" s="9" t="s">
        <v>23</v>
      </c>
      <c r="J9" s="11"/>
      <c r="K9" s="25"/>
      <c r="L9" s="21">
        <v>886</v>
      </c>
      <c r="M9" s="26"/>
      <c r="N9" s="27">
        <f t="shared" si="0"/>
        <v>886</v>
      </c>
      <c r="O9" s="28"/>
      <c r="P9" s="69">
        <f t="shared" si="1"/>
        <v>0</v>
      </c>
      <c r="Q9" s="70">
        <f t="shared" si="2"/>
        <v>65</v>
      </c>
      <c r="R9" s="27">
        <f t="shared" si="3"/>
        <v>65</v>
      </c>
    </row>
    <row r="10" spans="1:18" x14ac:dyDescent="0.4">
      <c r="A10" s="3" t="s">
        <v>39</v>
      </c>
      <c r="B10" s="4">
        <v>45469</v>
      </c>
      <c r="C10" s="5" t="s">
        <v>4</v>
      </c>
      <c r="D10" s="95" t="s">
        <v>14</v>
      </c>
      <c r="E10" s="96"/>
      <c r="F10" s="22"/>
      <c r="G10" s="22">
        <v>925</v>
      </c>
      <c r="I10" s="9" t="s">
        <v>23</v>
      </c>
      <c r="J10" s="11"/>
      <c r="K10" s="25"/>
      <c r="L10" s="21">
        <v>925</v>
      </c>
      <c r="M10" s="26"/>
      <c r="N10" s="27">
        <f t="shared" si="0"/>
        <v>925</v>
      </c>
      <c r="O10" s="28"/>
      <c r="P10" s="69">
        <f t="shared" si="1"/>
        <v>0</v>
      </c>
      <c r="Q10" s="70">
        <f t="shared" si="2"/>
        <v>68</v>
      </c>
      <c r="R10" s="27">
        <f t="shared" si="3"/>
        <v>68</v>
      </c>
    </row>
    <row r="11" spans="1:18" x14ac:dyDescent="0.4">
      <c r="A11" s="3" t="s">
        <v>39</v>
      </c>
      <c r="B11" s="4">
        <v>45470</v>
      </c>
      <c r="C11" s="5" t="s">
        <v>4</v>
      </c>
      <c r="D11" s="95" t="s">
        <v>14</v>
      </c>
      <c r="E11" s="96"/>
      <c r="F11" s="22"/>
      <c r="G11" s="22">
        <v>919</v>
      </c>
      <c r="I11" s="9" t="s">
        <v>23</v>
      </c>
      <c r="J11" s="11"/>
      <c r="K11" s="25"/>
      <c r="L11" s="21">
        <v>919</v>
      </c>
      <c r="M11" s="26"/>
      <c r="N11" s="27">
        <f t="shared" si="0"/>
        <v>919</v>
      </c>
      <c r="O11" s="28"/>
      <c r="P11" s="69">
        <f t="shared" si="1"/>
        <v>0</v>
      </c>
      <c r="Q11" s="70">
        <f t="shared" si="2"/>
        <v>68</v>
      </c>
      <c r="R11" s="27">
        <f t="shared" si="3"/>
        <v>68</v>
      </c>
    </row>
    <row r="12" spans="1:18" x14ac:dyDescent="0.4">
      <c r="A12" s="3" t="s">
        <v>39</v>
      </c>
      <c r="B12" s="4">
        <v>45471</v>
      </c>
      <c r="C12" s="5" t="s">
        <v>4</v>
      </c>
      <c r="D12" s="95" t="s">
        <v>152</v>
      </c>
      <c r="E12" s="96"/>
      <c r="F12" s="22"/>
      <c r="G12" s="22">
        <v>7500</v>
      </c>
      <c r="I12" s="9" t="s">
        <v>23</v>
      </c>
      <c r="J12" s="11"/>
      <c r="K12" s="25">
        <v>7500</v>
      </c>
      <c r="L12" s="21"/>
      <c r="M12" s="26"/>
      <c r="N12" s="27">
        <f t="shared" si="0"/>
        <v>7500</v>
      </c>
      <c r="O12" s="28"/>
      <c r="P12" s="69">
        <f t="shared" si="1"/>
        <v>681</v>
      </c>
      <c r="Q12" s="70">
        <f t="shared" si="2"/>
        <v>0</v>
      </c>
      <c r="R12" s="27">
        <f t="shared" si="3"/>
        <v>681</v>
      </c>
    </row>
    <row r="13" spans="1:18" x14ac:dyDescent="0.4">
      <c r="A13" s="3"/>
      <c r="B13" s="4"/>
      <c r="C13" s="5"/>
      <c r="D13" s="95" t="s">
        <v>160</v>
      </c>
      <c r="E13" s="96"/>
      <c r="F13" s="22"/>
      <c r="G13" s="22"/>
      <c r="I13" s="9"/>
      <c r="J13" s="11"/>
      <c r="K13" s="25"/>
      <c r="L13" s="21"/>
      <c r="M13" s="26"/>
      <c r="N13" s="27" t="str">
        <f t="shared" si="0"/>
        <v/>
      </c>
    </row>
    <row r="14" spans="1:18" x14ac:dyDescent="0.4">
      <c r="A14" s="3" t="s">
        <v>154</v>
      </c>
      <c r="B14" s="4">
        <v>45441</v>
      </c>
      <c r="C14" s="5" t="s">
        <v>4</v>
      </c>
      <c r="D14" s="95" t="s">
        <v>72</v>
      </c>
      <c r="E14" s="102"/>
      <c r="F14" s="20"/>
      <c r="G14" s="21">
        <v>260</v>
      </c>
      <c r="H14" s="1"/>
      <c r="I14" s="9" t="s">
        <v>23</v>
      </c>
      <c r="J14" s="11"/>
      <c r="K14" s="21">
        <v>260</v>
      </c>
      <c r="L14" s="21"/>
      <c r="M14" s="26"/>
      <c r="N14" s="27">
        <f t="shared" si="0"/>
        <v>260</v>
      </c>
      <c r="O14" s="28"/>
      <c r="P14" s="69">
        <f t="shared" ref="P14:P74" si="4">ROUNDDOWN($K14/110*10,0)</f>
        <v>23</v>
      </c>
      <c r="Q14" s="70">
        <f t="shared" ref="Q14:Q74" si="5">ROUNDDOWN($L14/108*8,0)</f>
        <v>0</v>
      </c>
      <c r="R14" s="27">
        <f t="shared" ref="R14:R45" si="6">P14+Q14</f>
        <v>23</v>
      </c>
    </row>
    <row r="15" spans="1:18" x14ac:dyDescent="0.4">
      <c r="A15" s="3" t="s">
        <v>154</v>
      </c>
      <c r="B15" s="4">
        <v>45441</v>
      </c>
      <c r="C15" s="5" t="s">
        <v>4</v>
      </c>
      <c r="D15" s="95" t="s">
        <v>155</v>
      </c>
      <c r="E15" s="102"/>
      <c r="F15" s="22"/>
      <c r="G15" s="22">
        <v>360</v>
      </c>
      <c r="I15" s="9" t="s">
        <v>23</v>
      </c>
      <c r="J15" s="11"/>
      <c r="K15" s="22">
        <v>360</v>
      </c>
      <c r="L15" s="21"/>
      <c r="M15" s="26"/>
      <c r="N15" s="27">
        <f t="shared" si="0"/>
        <v>360</v>
      </c>
      <c r="O15" s="28"/>
      <c r="P15" s="69">
        <f t="shared" si="4"/>
        <v>32</v>
      </c>
      <c r="Q15" s="70">
        <f t="shared" si="5"/>
        <v>0</v>
      </c>
      <c r="R15" s="27">
        <f t="shared" si="6"/>
        <v>32</v>
      </c>
    </row>
    <row r="16" spans="1:18" x14ac:dyDescent="0.4">
      <c r="A16" s="3" t="s">
        <v>154</v>
      </c>
      <c r="B16" s="4">
        <v>45441</v>
      </c>
      <c r="C16" s="5" t="s">
        <v>4</v>
      </c>
      <c r="D16" s="95" t="s">
        <v>156</v>
      </c>
      <c r="E16" s="102"/>
      <c r="F16" s="22"/>
      <c r="G16" s="22">
        <v>640</v>
      </c>
      <c r="I16" s="9" t="s">
        <v>23</v>
      </c>
      <c r="J16" s="11"/>
      <c r="K16" s="22">
        <v>640</v>
      </c>
      <c r="L16" s="21"/>
      <c r="M16" s="26"/>
      <c r="N16" s="27">
        <f t="shared" si="0"/>
        <v>640</v>
      </c>
      <c r="O16" s="28"/>
      <c r="P16" s="69">
        <f t="shared" si="4"/>
        <v>58</v>
      </c>
      <c r="Q16" s="70">
        <f t="shared" si="5"/>
        <v>0</v>
      </c>
      <c r="R16" s="27">
        <f t="shared" si="6"/>
        <v>58</v>
      </c>
    </row>
    <row r="17" spans="1:18" x14ac:dyDescent="0.4">
      <c r="A17" s="3" t="s">
        <v>154</v>
      </c>
      <c r="B17" s="4">
        <v>45441</v>
      </c>
      <c r="C17" s="5" t="s">
        <v>4</v>
      </c>
      <c r="D17" s="95" t="s">
        <v>157</v>
      </c>
      <c r="E17" s="102"/>
      <c r="F17" s="22"/>
      <c r="G17" s="22">
        <v>990</v>
      </c>
      <c r="I17" s="9" t="s">
        <v>23</v>
      </c>
      <c r="J17" s="11"/>
      <c r="K17" s="22">
        <v>990</v>
      </c>
      <c r="L17" s="21"/>
      <c r="M17" s="26"/>
      <c r="N17" s="27">
        <f t="shared" si="0"/>
        <v>990</v>
      </c>
      <c r="O17" s="28"/>
      <c r="P17" s="69">
        <f t="shared" si="4"/>
        <v>90</v>
      </c>
      <c r="Q17" s="70">
        <f t="shared" si="5"/>
        <v>0</v>
      </c>
      <c r="R17" s="27">
        <f t="shared" si="6"/>
        <v>90</v>
      </c>
    </row>
    <row r="18" spans="1:18" x14ac:dyDescent="0.4">
      <c r="A18" s="3" t="s">
        <v>154</v>
      </c>
      <c r="B18" s="4">
        <v>45441</v>
      </c>
      <c r="C18" s="5" t="s">
        <v>4</v>
      </c>
      <c r="D18" s="95" t="s">
        <v>158</v>
      </c>
      <c r="E18" s="102"/>
      <c r="F18" s="22"/>
      <c r="G18" s="22">
        <v>990</v>
      </c>
      <c r="I18" s="9" t="s">
        <v>23</v>
      </c>
      <c r="J18" s="11"/>
      <c r="K18" s="22">
        <v>990</v>
      </c>
      <c r="L18" s="21"/>
      <c r="M18" s="26"/>
      <c r="N18" s="27">
        <f t="shared" si="0"/>
        <v>990</v>
      </c>
      <c r="O18" s="28"/>
      <c r="P18" s="69">
        <f t="shared" si="4"/>
        <v>90</v>
      </c>
      <c r="Q18" s="70">
        <f t="shared" si="5"/>
        <v>0</v>
      </c>
      <c r="R18" s="27">
        <f t="shared" si="6"/>
        <v>90</v>
      </c>
    </row>
    <row r="19" spans="1:18" x14ac:dyDescent="0.4">
      <c r="A19" s="3" t="s">
        <v>154</v>
      </c>
      <c r="B19" s="4">
        <v>45441</v>
      </c>
      <c r="C19" s="5" t="s">
        <v>4</v>
      </c>
      <c r="D19" s="95" t="s">
        <v>78</v>
      </c>
      <c r="E19" s="102"/>
      <c r="F19" s="22"/>
      <c r="G19" s="22">
        <v>640</v>
      </c>
      <c r="I19" s="9" t="s">
        <v>23</v>
      </c>
      <c r="J19" s="11"/>
      <c r="K19" s="22">
        <v>640</v>
      </c>
      <c r="L19" s="21"/>
      <c r="M19" s="26"/>
      <c r="N19" s="27">
        <f t="shared" si="0"/>
        <v>640</v>
      </c>
      <c r="O19" s="28"/>
      <c r="P19" s="69">
        <f t="shared" si="4"/>
        <v>58</v>
      </c>
      <c r="Q19" s="70">
        <f t="shared" si="5"/>
        <v>0</v>
      </c>
      <c r="R19" s="27">
        <f t="shared" si="6"/>
        <v>58</v>
      </c>
    </row>
    <row r="20" spans="1:18" x14ac:dyDescent="0.4">
      <c r="A20" s="3" t="s">
        <v>154</v>
      </c>
      <c r="B20" s="4">
        <v>45441</v>
      </c>
      <c r="C20" s="5" t="s">
        <v>4</v>
      </c>
      <c r="D20" s="95" t="s">
        <v>71</v>
      </c>
      <c r="E20" s="102"/>
      <c r="F20" s="22"/>
      <c r="G20" s="22">
        <v>360</v>
      </c>
      <c r="I20" s="9" t="s">
        <v>23</v>
      </c>
      <c r="J20" s="11"/>
      <c r="K20" s="22">
        <v>360</v>
      </c>
      <c r="L20" s="21"/>
      <c r="M20" s="26"/>
      <c r="N20" s="27">
        <f>IF(K20+L20+M20=0,"",K20+L20+M20)</f>
        <v>360</v>
      </c>
      <c r="O20" s="28"/>
      <c r="P20" s="69">
        <f>ROUNDDOWN($K20/110*10,0)</f>
        <v>32</v>
      </c>
      <c r="Q20" s="70">
        <f>ROUNDDOWN($L20/108*8,0)</f>
        <v>0</v>
      </c>
      <c r="R20" s="27">
        <f>P20+Q20</f>
        <v>32</v>
      </c>
    </row>
    <row r="21" spans="1:18" x14ac:dyDescent="0.4">
      <c r="A21" s="3" t="s">
        <v>154</v>
      </c>
      <c r="B21" s="4">
        <v>45441</v>
      </c>
      <c r="C21" s="5" t="s">
        <v>4</v>
      </c>
      <c r="D21" s="95" t="s">
        <v>72</v>
      </c>
      <c r="E21" s="102"/>
      <c r="F21" s="22"/>
      <c r="G21" s="22">
        <v>260</v>
      </c>
      <c r="I21" s="9" t="s">
        <v>23</v>
      </c>
      <c r="J21" s="11"/>
      <c r="K21" s="22">
        <v>260</v>
      </c>
      <c r="L21" s="21"/>
      <c r="M21" s="26"/>
      <c r="N21" s="27">
        <f t="shared" si="0"/>
        <v>260</v>
      </c>
      <c r="O21" s="28"/>
      <c r="P21" s="69">
        <f t="shared" si="4"/>
        <v>23</v>
      </c>
      <c r="Q21" s="70">
        <f t="shared" si="5"/>
        <v>0</v>
      </c>
      <c r="R21" s="27">
        <f t="shared" si="6"/>
        <v>23</v>
      </c>
    </row>
    <row r="22" spans="1:18" x14ac:dyDescent="0.4">
      <c r="A22" s="3" t="s">
        <v>154</v>
      </c>
      <c r="B22" s="4">
        <v>45442</v>
      </c>
      <c r="C22" s="5" t="s">
        <v>4</v>
      </c>
      <c r="D22" s="95" t="s">
        <v>72</v>
      </c>
      <c r="E22" s="102"/>
      <c r="F22" s="22"/>
      <c r="G22" s="22">
        <v>320</v>
      </c>
      <c r="I22" s="9" t="s">
        <v>23</v>
      </c>
      <c r="J22" s="11"/>
      <c r="K22" s="22">
        <v>320</v>
      </c>
      <c r="L22" s="21"/>
      <c r="M22" s="26"/>
      <c r="N22" s="27">
        <f t="shared" si="0"/>
        <v>320</v>
      </c>
      <c r="O22" s="28"/>
      <c r="P22" s="69">
        <f t="shared" si="4"/>
        <v>29</v>
      </c>
      <c r="Q22" s="70">
        <f t="shared" si="5"/>
        <v>0</v>
      </c>
      <c r="R22" s="27">
        <f t="shared" si="6"/>
        <v>29</v>
      </c>
    </row>
    <row r="23" spans="1:18" x14ac:dyDescent="0.4">
      <c r="A23" s="3" t="s">
        <v>154</v>
      </c>
      <c r="B23" s="4">
        <v>45442</v>
      </c>
      <c r="C23" s="5" t="s">
        <v>4</v>
      </c>
      <c r="D23" s="95" t="s">
        <v>155</v>
      </c>
      <c r="E23" s="102"/>
      <c r="F23" s="22"/>
      <c r="G23" s="22">
        <v>410</v>
      </c>
      <c r="I23" s="9" t="s">
        <v>23</v>
      </c>
      <c r="J23" s="11"/>
      <c r="K23" s="22">
        <v>410</v>
      </c>
      <c r="L23" s="21"/>
      <c r="M23" s="26"/>
      <c r="N23" s="27">
        <f t="shared" si="0"/>
        <v>410</v>
      </c>
      <c r="O23" s="28"/>
      <c r="P23" s="69">
        <f t="shared" si="4"/>
        <v>37</v>
      </c>
      <c r="Q23" s="70">
        <f t="shared" si="5"/>
        <v>0</v>
      </c>
      <c r="R23" s="27">
        <f t="shared" si="6"/>
        <v>37</v>
      </c>
    </row>
    <row r="24" spans="1:18" x14ac:dyDescent="0.4">
      <c r="A24" s="3" t="s">
        <v>154</v>
      </c>
      <c r="B24" s="4">
        <v>45442</v>
      </c>
      <c r="C24" s="5" t="s">
        <v>4</v>
      </c>
      <c r="D24" s="95" t="s">
        <v>156</v>
      </c>
      <c r="E24" s="102"/>
      <c r="F24" s="22"/>
      <c r="G24" s="22">
        <v>640</v>
      </c>
      <c r="I24" s="9" t="s">
        <v>23</v>
      </c>
      <c r="J24" s="11"/>
      <c r="K24" s="22">
        <v>640</v>
      </c>
      <c r="L24" s="21"/>
      <c r="M24" s="26"/>
      <c r="N24" s="27">
        <f t="shared" si="0"/>
        <v>640</v>
      </c>
      <c r="O24" s="28"/>
      <c r="P24" s="69">
        <f t="shared" si="4"/>
        <v>58</v>
      </c>
      <c r="Q24" s="70">
        <f t="shared" si="5"/>
        <v>0</v>
      </c>
      <c r="R24" s="27">
        <f t="shared" si="6"/>
        <v>58</v>
      </c>
    </row>
    <row r="25" spans="1:18" x14ac:dyDescent="0.4">
      <c r="A25" s="3" t="s">
        <v>154</v>
      </c>
      <c r="B25" s="4">
        <v>45442</v>
      </c>
      <c r="C25" s="5" t="s">
        <v>4</v>
      </c>
      <c r="D25" s="95" t="s">
        <v>157</v>
      </c>
      <c r="E25" s="102"/>
      <c r="F25" s="22"/>
      <c r="G25" s="22">
        <v>990</v>
      </c>
      <c r="I25" s="9" t="s">
        <v>23</v>
      </c>
      <c r="J25" s="11"/>
      <c r="K25" s="22">
        <v>990</v>
      </c>
      <c r="L25" s="21"/>
      <c r="M25" s="29"/>
      <c r="N25" s="27">
        <f t="shared" si="0"/>
        <v>990</v>
      </c>
      <c r="O25" s="28"/>
      <c r="P25" s="69">
        <f t="shared" si="4"/>
        <v>90</v>
      </c>
      <c r="Q25" s="70">
        <f t="shared" si="5"/>
        <v>0</v>
      </c>
      <c r="R25" s="27">
        <f t="shared" si="6"/>
        <v>90</v>
      </c>
    </row>
    <row r="26" spans="1:18" x14ac:dyDescent="0.4">
      <c r="A26" s="3" t="s">
        <v>154</v>
      </c>
      <c r="B26" s="4">
        <v>45442</v>
      </c>
      <c r="C26" s="5" t="s">
        <v>4</v>
      </c>
      <c r="D26" s="95" t="s">
        <v>158</v>
      </c>
      <c r="E26" s="102"/>
      <c r="F26" s="22"/>
      <c r="G26" s="22">
        <v>990</v>
      </c>
      <c r="I26" s="9" t="s">
        <v>23</v>
      </c>
      <c r="J26" s="11"/>
      <c r="K26" s="22">
        <v>990</v>
      </c>
      <c r="L26" s="21"/>
      <c r="M26" s="26"/>
      <c r="N26" s="27">
        <f t="shared" si="0"/>
        <v>990</v>
      </c>
      <c r="O26" s="28"/>
      <c r="P26" s="69">
        <f t="shared" si="4"/>
        <v>90</v>
      </c>
      <c r="Q26" s="70">
        <f t="shared" si="5"/>
        <v>0</v>
      </c>
      <c r="R26" s="27">
        <f t="shared" si="6"/>
        <v>90</v>
      </c>
    </row>
    <row r="27" spans="1:18" x14ac:dyDescent="0.4">
      <c r="A27" s="3" t="s">
        <v>154</v>
      </c>
      <c r="B27" s="4">
        <v>45442</v>
      </c>
      <c r="C27" s="5" t="s">
        <v>4</v>
      </c>
      <c r="D27" s="95" t="s">
        <v>78</v>
      </c>
      <c r="E27" s="102"/>
      <c r="F27" s="22"/>
      <c r="G27" s="22">
        <v>640</v>
      </c>
      <c r="I27" s="9" t="s">
        <v>23</v>
      </c>
      <c r="J27" s="11"/>
      <c r="K27" s="22">
        <v>640</v>
      </c>
      <c r="L27" s="21"/>
      <c r="M27" s="26"/>
      <c r="N27" s="27">
        <f t="shared" si="0"/>
        <v>640</v>
      </c>
      <c r="O27" s="28"/>
      <c r="P27" s="69">
        <f t="shared" si="4"/>
        <v>58</v>
      </c>
      <c r="Q27" s="70">
        <f t="shared" si="5"/>
        <v>0</v>
      </c>
      <c r="R27" s="27">
        <f t="shared" si="6"/>
        <v>58</v>
      </c>
    </row>
    <row r="28" spans="1:18" x14ac:dyDescent="0.4">
      <c r="A28" s="3" t="s">
        <v>154</v>
      </c>
      <c r="B28" s="4">
        <v>45442</v>
      </c>
      <c r="C28" s="5" t="s">
        <v>4</v>
      </c>
      <c r="D28" s="95" t="s">
        <v>72</v>
      </c>
      <c r="E28" s="102"/>
      <c r="F28" s="22"/>
      <c r="G28" s="22">
        <v>320</v>
      </c>
      <c r="I28" s="9" t="s">
        <v>23</v>
      </c>
      <c r="J28" s="11"/>
      <c r="K28" s="22">
        <v>320</v>
      </c>
      <c r="L28" s="21"/>
      <c r="M28" s="26"/>
      <c r="N28" s="27">
        <f t="shared" si="0"/>
        <v>320</v>
      </c>
      <c r="O28" s="28"/>
      <c r="P28" s="69">
        <f t="shared" si="4"/>
        <v>29</v>
      </c>
      <c r="Q28" s="70">
        <f t="shared" si="5"/>
        <v>0</v>
      </c>
      <c r="R28" s="27">
        <f t="shared" si="6"/>
        <v>29</v>
      </c>
    </row>
    <row r="29" spans="1:18" x14ac:dyDescent="0.4">
      <c r="A29" s="3" t="s">
        <v>154</v>
      </c>
      <c r="B29" s="4">
        <v>45443</v>
      </c>
      <c r="C29" s="5" t="s">
        <v>4</v>
      </c>
      <c r="D29" s="95" t="s">
        <v>72</v>
      </c>
      <c r="E29" s="102"/>
      <c r="F29" s="22"/>
      <c r="G29" s="22">
        <v>320</v>
      </c>
      <c r="I29" s="9" t="s">
        <v>23</v>
      </c>
      <c r="J29" s="11"/>
      <c r="K29" s="22">
        <v>320</v>
      </c>
      <c r="L29" s="21"/>
      <c r="M29" s="26"/>
      <c r="N29" s="27">
        <f t="shared" si="0"/>
        <v>320</v>
      </c>
      <c r="O29" s="28"/>
      <c r="P29" s="69">
        <f t="shared" si="4"/>
        <v>29</v>
      </c>
      <c r="Q29" s="70">
        <f t="shared" si="5"/>
        <v>0</v>
      </c>
      <c r="R29" s="27">
        <f t="shared" si="6"/>
        <v>29</v>
      </c>
    </row>
    <row r="30" spans="1:18" x14ac:dyDescent="0.4">
      <c r="A30" s="3" t="s">
        <v>154</v>
      </c>
      <c r="B30" s="4">
        <v>45443</v>
      </c>
      <c r="C30" s="5" t="s">
        <v>4</v>
      </c>
      <c r="D30" s="95" t="s">
        <v>155</v>
      </c>
      <c r="E30" s="102"/>
      <c r="F30" s="22"/>
      <c r="G30" s="22">
        <v>410</v>
      </c>
      <c r="I30" s="9" t="s">
        <v>23</v>
      </c>
      <c r="J30" s="11"/>
      <c r="K30" s="22">
        <v>410</v>
      </c>
      <c r="L30" s="21"/>
      <c r="M30" s="26"/>
      <c r="N30" s="27">
        <f t="shared" si="0"/>
        <v>410</v>
      </c>
      <c r="O30" s="28"/>
      <c r="P30" s="69">
        <f t="shared" si="4"/>
        <v>37</v>
      </c>
      <c r="Q30" s="70">
        <f t="shared" si="5"/>
        <v>0</v>
      </c>
      <c r="R30" s="27">
        <f t="shared" si="6"/>
        <v>37</v>
      </c>
    </row>
    <row r="31" spans="1:18" x14ac:dyDescent="0.4">
      <c r="A31" s="3" t="s">
        <v>154</v>
      </c>
      <c r="B31" s="4">
        <v>45443</v>
      </c>
      <c r="C31" s="5" t="s">
        <v>4</v>
      </c>
      <c r="D31" s="95" t="s">
        <v>156</v>
      </c>
      <c r="E31" s="102"/>
      <c r="F31" s="22"/>
      <c r="G31" s="22">
        <v>640</v>
      </c>
      <c r="I31" s="9" t="s">
        <v>23</v>
      </c>
      <c r="J31" s="11"/>
      <c r="K31" s="22">
        <v>640</v>
      </c>
      <c r="L31" s="21"/>
      <c r="M31" s="26"/>
      <c r="N31" s="27">
        <f t="shared" si="0"/>
        <v>640</v>
      </c>
      <c r="O31" s="28"/>
      <c r="P31" s="69">
        <f t="shared" si="4"/>
        <v>58</v>
      </c>
      <c r="Q31" s="70">
        <f t="shared" si="5"/>
        <v>0</v>
      </c>
      <c r="R31" s="27">
        <f t="shared" si="6"/>
        <v>58</v>
      </c>
    </row>
    <row r="32" spans="1:18" x14ac:dyDescent="0.4">
      <c r="A32" s="3" t="s">
        <v>154</v>
      </c>
      <c r="B32" s="4">
        <v>45443</v>
      </c>
      <c r="C32" s="5" t="s">
        <v>4</v>
      </c>
      <c r="D32" s="95" t="s">
        <v>157</v>
      </c>
      <c r="E32" s="102"/>
      <c r="F32" s="22"/>
      <c r="G32" s="22">
        <v>990</v>
      </c>
      <c r="I32" s="9" t="s">
        <v>23</v>
      </c>
      <c r="J32" s="11"/>
      <c r="K32" s="22">
        <v>990</v>
      </c>
      <c r="L32" s="21"/>
      <c r="M32" s="26"/>
      <c r="N32" s="27">
        <f t="shared" si="0"/>
        <v>990</v>
      </c>
      <c r="O32" s="28"/>
      <c r="P32" s="69">
        <f t="shared" si="4"/>
        <v>90</v>
      </c>
      <c r="Q32" s="70">
        <f t="shared" si="5"/>
        <v>0</v>
      </c>
      <c r="R32" s="27">
        <f t="shared" si="6"/>
        <v>90</v>
      </c>
    </row>
    <row r="33" spans="1:21" x14ac:dyDescent="0.4">
      <c r="A33" s="3" t="s">
        <v>154</v>
      </c>
      <c r="B33" s="4">
        <v>45443</v>
      </c>
      <c r="C33" s="5" t="s">
        <v>4</v>
      </c>
      <c r="D33" s="95" t="s">
        <v>158</v>
      </c>
      <c r="E33" s="102"/>
      <c r="F33" s="22"/>
      <c r="G33" s="22">
        <v>990</v>
      </c>
      <c r="I33" s="9" t="s">
        <v>23</v>
      </c>
      <c r="J33" s="11"/>
      <c r="K33" s="22">
        <v>990</v>
      </c>
      <c r="L33" s="21"/>
      <c r="M33" s="26"/>
      <c r="N33" s="27">
        <f t="shared" si="0"/>
        <v>990</v>
      </c>
      <c r="O33" s="28"/>
      <c r="P33" s="69">
        <f t="shared" si="4"/>
        <v>90</v>
      </c>
      <c r="Q33" s="70">
        <f t="shared" si="5"/>
        <v>0</v>
      </c>
      <c r="R33" s="27">
        <f t="shared" si="6"/>
        <v>90</v>
      </c>
    </row>
    <row r="34" spans="1:21" x14ac:dyDescent="0.4">
      <c r="A34" s="3" t="s">
        <v>154</v>
      </c>
      <c r="B34" s="4">
        <v>45443</v>
      </c>
      <c r="C34" s="5" t="s">
        <v>4</v>
      </c>
      <c r="D34" s="95" t="s">
        <v>78</v>
      </c>
      <c r="E34" s="102"/>
      <c r="F34" s="22"/>
      <c r="G34" s="22">
        <v>640</v>
      </c>
      <c r="I34" s="9" t="s">
        <v>23</v>
      </c>
      <c r="J34" s="11"/>
      <c r="K34" s="22">
        <v>640</v>
      </c>
      <c r="L34" s="21"/>
      <c r="M34" s="26"/>
      <c r="N34" s="27">
        <f t="shared" si="0"/>
        <v>640</v>
      </c>
      <c r="O34" s="28"/>
      <c r="P34" s="69">
        <f t="shared" si="4"/>
        <v>58</v>
      </c>
      <c r="Q34" s="70">
        <f t="shared" si="5"/>
        <v>0</v>
      </c>
      <c r="R34" s="27">
        <f t="shared" si="6"/>
        <v>58</v>
      </c>
    </row>
    <row r="35" spans="1:21" x14ac:dyDescent="0.4">
      <c r="A35" s="3" t="s">
        <v>159</v>
      </c>
      <c r="B35" s="4">
        <v>45446</v>
      </c>
      <c r="C35" s="5" t="s">
        <v>4</v>
      </c>
      <c r="D35" s="95" t="s">
        <v>72</v>
      </c>
      <c r="E35" s="102"/>
      <c r="F35" s="22"/>
      <c r="G35" s="22">
        <v>320</v>
      </c>
      <c r="I35" s="9" t="s">
        <v>23</v>
      </c>
      <c r="J35" s="11"/>
      <c r="K35" s="22">
        <v>320</v>
      </c>
      <c r="L35" s="21"/>
      <c r="M35" s="26"/>
      <c r="N35" s="27">
        <f t="shared" si="0"/>
        <v>320</v>
      </c>
      <c r="O35" s="28"/>
      <c r="P35" s="69">
        <f t="shared" si="4"/>
        <v>29</v>
      </c>
      <c r="Q35" s="70">
        <f t="shared" si="5"/>
        <v>0</v>
      </c>
      <c r="R35" s="27">
        <f t="shared" si="6"/>
        <v>29</v>
      </c>
    </row>
    <row r="36" spans="1:21" x14ac:dyDescent="0.4">
      <c r="A36" s="3" t="s">
        <v>159</v>
      </c>
      <c r="B36" s="4">
        <v>45446</v>
      </c>
      <c r="C36" s="5" t="s">
        <v>4</v>
      </c>
      <c r="D36" s="95" t="s">
        <v>155</v>
      </c>
      <c r="E36" s="102"/>
      <c r="F36" s="22"/>
      <c r="G36" s="22">
        <v>410</v>
      </c>
      <c r="I36" s="9" t="s">
        <v>23</v>
      </c>
      <c r="J36" s="11"/>
      <c r="K36" s="22">
        <v>410</v>
      </c>
      <c r="L36" s="21"/>
      <c r="M36" s="26"/>
      <c r="N36" s="27">
        <f t="shared" si="0"/>
        <v>410</v>
      </c>
      <c r="O36" s="28"/>
      <c r="P36" s="69">
        <f t="shared" si="4"/>
        <v>37</v>
      </c>
      <c r="Q36" s="70">
        <f t="shared" si="5"/>
        <v>0</v>
      </c>
      <c r="R36" s="27">
        <f t="shared" si="6"/>
        <v>37</v>
      </c>
      <c r="U36" s="89"/>
    </row>
    <row r="37" spans="1:21" x14ac:dyDescent="0.4">
      <c r="A37" s="3" t="s">
        <v>159</v>
      </c>
      <c r="B37" s="4">
        <v>45446</v>
      </c>
      <c r="C37" s="5" t="s">
        <v>4</v>
      </c>
      <c r="D37" s="95" t="s">
        <v>156</v>
      </c>
      <c r="E37" s="102"/>
      <c r="F37" s="20"/>
      <c r="G37" s="21">
        <v>640</v>
      </c>
      <c r="I37" s="9" t="s">
        <v>23</v>
      </c>
      <c r="J37" s="11"/>
      <c r="K37" s="21">
        <v>640</v>
      </c>
      <c r="L37" s="21"/>
      <c r="M37" s="26"/>
      <c r="N37" s="27">
        <f t="shared" si="0"/>
        <v>640</v>
      </c>
      <c r="O37" s="28"/>
      <c r="P37" s="69">
        <f t="shared" si="4"/>
        <v>58</v>
      </c>
      <c r="Q37" s="70">
        <f t="shared" si="5"/>
        <v>0</v>
      </c>
      <c r="R37" s="27">
        <f t="shared" si="6"/>
        <v>58</v>
      </c>
    </row>
    <row r="38" spans="1:21" x14ac:dyDescent="0.4">
      <c r="A38" s="3" t="s">
        <v>159</v>
      </c>
      <c r="B38" s="4">
        <v>45446</v>
      </c>
      <c r="C38" s="5" t="s">
        <v>4</v>
      </c>
      <c r="D38" s="95" t="s">
        <v>157</v>
      </c>
      <c r="E38" s="102"/>
      <c r="F38" s="22"/>
      <c r="G38" s="22">
        <v>990</v>
      </c>
      <c r="I38" s="9" t="s">
        <v>23</v>
      </c>
      <c r="J38" s="11"/>
      <c r="K38" s="22">
        <v>990</v>
      </c>
      <c r="L38" s="21"/>
      <c r="M38" s="26"/>
      <c r="N38" s="27">
        <f t="shared" si="0"/>
        <v>990</v>
      </c>
      <c r="O38" s="28"/>
      <c r="P38" s="69">
        <f t="shared" si="4"/>
        <v>90</v>
      </c>
      <c r="Q38" s="70">
        <f t="shared" si="5"/>
        <v>0</v>
      </c>
      <c r="R38" s="27">
        <f t="shared" si="6"/>
        <v>90</v>
      </c>
    </row>
    <row r="39" spans="1:21" x14ac:dyDescent="0.4">
      <c r="A39" s="3" t="s">
        <v>159</v>
      </c>
      <c r="B39" s="4">
        <v>45446</v>
      </c>
      <c r="C39" s="5" t="s">
        <v>4</v>
      </c>
      <c r="D39" s="95" t="s">
        <v>158</v>
      </c>
      <c r="E39" s="102"/>
      <c r="F39" s="22"/>
      <c r="G39" s="22">
        <v>990</v>
      </c>
      <c r="I39" s="9" t="s">
        <v>23</v>
      </c>
      <c r="J39" s="11"/>
      <c r="K39" s="22">
        <v>990</v>
      </c>
      <c r="L39" s="21"/>
      <c r="M39" s="26"/>
      <c r="N39" s="27">
        <f t="shared" si="0"/>
        <v>990</v>
      </c>
      <c r="O39" s="28"/>
      <c r="P39" s="69">
        <f t="shared" si="4"/>
        <v>90</v>
      </c>
      <c r="Q39" s="70">
        <f t="shared" si="5"/>
        <v>0</v>
      </c>
      <c r="R39" s="27">
        <f t="shared" si="6"/>
        <v>90</v>
      </c>
    </row>
    <row r="40" spans="1:21" x14ac:dyDescent="0.4">
      <c r="A40" s="3" t="s">
        <v>159</v>
      </c>
      <c r="B40" s="4">
        <v>45446</v>
      </c>
      <c r="C40" s="5" t="s">
        <v>4</v>
      </c>
      <c r="D40" s="95" t="s">
        <v>78</v>
      </c>
      <c r="E40" s="102"/>
      <c r="F40" s="22"/>
      <c r="G40" s="22">
        <v>640</v>
      </c>
      <c r="I40" s="9" t="s">
        <v>23</v>
      </c>
      <c r="J40" s="11"/>
      <c r="K40" s="22">
        <v>640</v>
      </c>
      <c r="L40" s="21"/>
      <c r="M40" s="26"/>
      <c r="N40" s="27">
        <f t="shared" si="0"/>
        <v>640</v>
      </c>
      <c r="O40" s="28"/>
      <c r="P40" s="69">
        <f t="shared" si="4"/>
        <v>58</v>
      </c>
      <c r="Q40" s="70">
        <f t="shared" si="5"/>
        <v>0</v>
      </c>
      <c r="R40" s="27">
        <f t="shared" si="6"/>
        <v>58</v>
      </c>
    </row>
    <row r="41" spans="1:21" x14ac:dyDescent="0.4">
      <c r="A41" s="3" t="s">
        <v>159</v>
      </c>
      <c r="B41" s="4">
        <v>45446</v>
      </c>
      <c r="C41" s="5" t="s">
        <v>4</v>
      </c>
      <c r="D41" s="95" t="s">
        <v>71</v>
      </c>
      <c r="E41" s="102"/>
      <c r="F41" s="22"/>
      <c r="G41" s="22">
        <v>410</v>
      </c>
      <c r="I41" s="9" t="s">
        <v>23</v>
      </c>
      <c r="J41" s="11"/>
      <c r="K41" s="22">
        <v>410</v>
      </c>
      <c r="L41" s="21"/>
      <c r="M41" s="26"/>
      <c r="N41" s="27">
        <f t="shared" si="0"/>
        <v>410</v>
      </c>
      <c r="O41" s="28"/>
      <c r="P41" s="69">
        <f t="shared" si="4"/>
        <v>37</v>
      </c>
      <c r="Q41" s="70">
        <f t="shared" si="5"/>
        <v>0</v>
      </c>
      <c r="R41" s="27">
        <f t="shared" si="6"/>
        <v>37</v>
      </c>
    </row>
    <row r="42" spans="1:21" x14ac:dyDescent="0.4">
      <c r="A42" s="3" t="s">
        <v>159</v>
      </c>
      <c r="B42" s="4">
        <v>45446</v>
      </c>
      <c r="C42" s="5" t="s">
        <v>4</v>
      </c>
      <c r="D42" s="95" t="s">
        <v>72</v>
      </c>
      <c r="E42" s="102"/>
      <c r="F42" s="22"/>
      <c r="G42" s="22">
        <v>320</v>
      </c>
      <c r="I42" s="9" t="s">
        <v>23</v>
      </c>
      <c r="J42" s="11"/>
      <c r="K42" s="22">
        <v>320</v>
      </c>
      <c r="L42" s="21"/>
      <c r="M42" s="26"/>
      <c r="N42" s="27">
        <f t="shared" si="0"/>
        <v>320</v>
      </c>
      <c r="O42" s="28"/>
      <c r="P42" s="69">
        <f t="shared" si="4"/>
        <v>29</v>
      </c>
      <c r="Q42" s="70">
        <f t="shared" si="5"/>
        <v>0</v>
      </c>
      <c r="R42" s="27">
        <f t="shared" si="6"/>
        <v>29</v>
      </c>
    </row>
    <row r="43" spans="1:21" x14ac:dyDescent="0.4">
      <c r="A43" s="3" t="s">
        <v>159</v>
      </c>
      <c r="B43" s="4">
        <v>45447</v>
      </c>
      <c r="C43" s="5" t="s">
        <v>4</v>
      </c>
      <c r="D43" s="95" t="s">
        <v>72</v>
      </c>
      <c r="E43" s="102"/>
      <c r="F43" s="22"/>
      <c r="G43" s="22">
        <v>260</v>
      </c>
      <c r="I43" s="9" t="s">
        <v>23</v>
      </c>
      <c r="J43" s="11"/>
      <c r="K43" s="22">
        <v>260</v>
      </c>
      <c r="L43" s="21"/>
      <c r="M43" s="26"/>
      <c r="N43" s="27">
        <f t="shared" si="0"/>
        <v>260</v>
      </c>
      <c r="O43" s="28"/>
      <c r="P43" s="69">
        <f t="shared" si="4"/>
        <v>23</v>
      </c>
      <c r="Q43" s="70">
        <f t="shared" si="5"/>
        <v>0</v>
      </c>
      <c r="R43" s="27">
        <f t="shared" si="6"/>
        <v>23</v>
      </c>
    </row>
    <row r="44" spans="1:21" x14ac:dyDescent="0.4">
      <c r="A44" s="3" t="s">
        <v>159</v>
      </c>
      <c r="B44" s="4">
        <v>45447</v>
      </c>
      <c r="C44" s="5" t="s">
        <v>4</v>
      </c>
      <c r="D44" s="95" t="s">
        <v>155</v>
      </c>
      <c r="E44" s="102"/>
      <c r="F44" s="22"/>
      <c r="G44" s="22">
        <v>360</v>
      </c>
      <c r="I44" s="9" t="s">
        <v>23</v>
      </c>
      <c r="J44" s="11"/>
      <c r="K44" s="22">
        <v>360</v>
      </c>
      <c r="L44" s="21"/>
      <c r="M44" s="26"/>
      <c r="N44" s="27">
        <f t="shared" si="0"/>
        <v>360</v>
      </c>
      <c r="O44" s="28"/>
      <c r="P44" s="69">
        <f t="shared" si="4"/>
        <v>32</v>
      </c>
      <c r="Q44" s="70">
        <f t="shared" si="5"/>
        <v>0</v>
      </c>
      <c r="R44" s="27">
        <f t="shared" si="6"/>
        <v>32</v>
      </c>
    </row>
    <row r="45" spans="1:21" x14ac:dyDescent="0.4">
      <c r="A45" s="3" t="s">
        <v>154</v>
      </c>
      <c r="B45" s="4">
        <v>45447</v>
      </c>
      <c r="C45" s="5" t="s">
        <v>4</v>
      </c>
      <c r="D45" s="95" t="s">
        <v>156</v>
      </c>
      <c r="E45" s="102"/>
      <c r="F45" s="22"/>
      <c r="G45" s="22">
        <v>640</v>
      </c>
      <c r="I45" s="9" t="s">
        <v>23</v>
      </c>
      <c r="J45" s="11"/>
      <c r="K45" s="22">
        <v>640</v>
      </c>
      <c r="L45" s="21"/>
      <c r="M45" s="26"/>
      <c r="N45" s="27">
        <f t="shared" si="0"/>
        <v>640</v>
      </c>
      <c r="O45" s="28"/>
      <c r="P45" s="69">
        <f t="shared" si="4"/>
        <v>58</v>
      </c>
      <c r="Q45" s="70">
        <f t="shared" si="5"/>
        <v>0</v>
      </c>
      <c r="R45" s="27">
        <f t="shared" si="6"/>
        <v>58</v>
      </c>
    </row>
    <row r="46" spans="1:21" x14ac:dyDescent="0.4">
      <c r="A46" s="3" t="s">
        <v>154</v>
      </c>
      <c r="B46" s="4">
        <v>45447</v>
      </c>
      <c r="C46" s="5" t="s">
        <v>4</v>
      </c>
      <c r="D46" s="95" t="s">
        <v>157</v>
      </c>
      <c r="E46" s="102"/>
      <c r="F46" s="22"/>
      <c r="G46" s="22">
        <v>990</v>
      </c>
      <c r="I46" s="9" t="s">
        <v>23</v>
      </c>
      <c r="J46" s="11"/>
      <c r="K46" s="22">
        <v>990</v>
      </c>
      <c r="L46" s="31"/>
      <c r="M46" s="32"/>
      <c r="N46" s="33">
        <f>IF(K46+L46+M46=0,"",K46+L46+M46)</f>
        <v>990</v>
      </c>
      <c r="O46" s="28"/>
      <c r="P46" s="71">
        <f t="shared" si="4"/>
        <v>90</v>
      </c>
      <c r="Q46" s="72">
        <f t="shared" si="5"/>
        <v>0</v>
      </c>
      <c r="R46" s="33">
        <f>P46+Q46</f>
        <v>90</v>
      </c>
    </row>
    <row r="47" spans="1:21" x14ac:dyDescent="0.4">
      <c r="A47" s="3" t="s">
        <v>154</v>
      </c>
      <c r="B47" s="4">
        <v>45447</v>
      </c>
      <c r="C47" s="5" t="s">
        <v>4</v>
      </c>
      <c r="D47" s="95" t="s">
        <v>158</v>
      </c>
      <c r="E47" s="102"/>
      <c r="F47" s="22"/>
      <c r="G47" s="22">
        <v>990</v>
      </c>
      <c r="H47" s="1"/>
      <c r="I47" s="9" t="s">
        <v>23</v>
      </c>
      <c r="J47" s="11"/>
      <c r="K47" s="22">
        <v>990</v>
      </c>
      <c r="L47" s="21"/>
      <c r="M47" s="26"/>
      <c r="N47" s="27">
        <f t="shared" ref="N47:N74" si="7">IF(K47+L47+M47=0,"",K47+L47+M47)</f>
        <v>990</v>
      </c>
      <c r="O47" s="28"/>
      <c r="P47" s="69">
        <f t="shared" si="4"/>
        <v>90</v>
      </c>
      <c r="Q47" s="70">
        <f t="shared" si="5"/>
        <v>0</v>
      </c>
      <c r="R47" s="27">
        <f t="shared" ref="R47:R74" si="8">P47+Q47</f>
        <v>90</v>
      </c>
    </row>
    <row r="48" spans="1:21" x14ac:dyDescent="0.4">
      <c r="A48" s="3" t="s">
        <v>154</v>
      </c>
      <c r="B48" s="4">
        <v>45447</v>
      </c>
      <c r="C48" s="5" t="s">
        <v>4</v>
      </c>
      <c r="D48" s="95" t="s">
        <v>78</v>
      </c>
      <c r="E48" s="102"/>
      <c r="F48" s="22"/>
      <c r="G48" s="22">
        <v>640</v>
      </c>
      <c r="I48" s="9" t="s">
        <v>23</v>
      </c>
      <c r="J48" s="11"/>
      <c r="K48" s="22">
        <v>640</v>
      </c>
      <c r="L48" s="21"/>
      <c r="M48" s="26"/>
      <c r="N48" s="27">
        <f t="shared" si="7"/>
        <v>640</v>
      </c>
      <c r="O48" s="28"/>
      <c r="P48" s="69">
        <f t="shared" si="4"/>
        <v>58</v>
      </c>
      <c r="Q48" s="70">
        <f t="shared" si="5"/>
        <v>0</v>
      </c>
      <c r="R48" s="27">
        <f t="shared" si="8"/>
        <v>58</v>
      </c>
    </row>
    <row r="49" spans="1:18" x14ac:dyDescent="0.4">
      <c r="A49" s="3" t="s">
        <v>154</v>
      </c>
      <c r="B49" s="4">
        <v>45447</v>
      </c>
      <c r="C49" s="5" t="s">
        <v>4</v>
      </c>
      <c r="D49" s="95" t="s">
        <v>72</v>
      </c>
      <c r="E49" s="102"/>
      <c r="F49" s="22"/>
      <c r="G49" s="22">
        <v>260</v>
      </c>
      <c r="I49" s="9" t="s">
        <v>23</v>
      </c>
      <c r="J49" s="11"/>
      <c r="K49" s="22">
        <v>260</v>
      </c>
      <c r="L49" s="21"/>
      <c r="M49" s="26"/>
      <c r="N49" s="27">
        <f t="shared" si="7"/>
        <v>260</v>
      </c>
      <c r="O49" s="28"/>
      <c r="P49" s="69">
        <f t="shared" si="4"/>
        <v>23</v>
      </c>
      <c r="Q49" s="70">
        <f t="shared" si="5"/>
        <v>0</v>
      </c>
      <c r="R49" s="27">
        <f t="shared" si="8"/>
        <v>23</v>
      </c>
    </row>
    <row r="50" spans="1:18" x14ac:dyDescent="0.4">
      <c r="A50" s="3" t="s">
        <v>154</v>
      </c>
      <c r="B50" s="4">
        <v>45448</v>
      </c>
      <c r="C50" s="5" t="s">
        <v>4</v>
      </c>
      <c r="D50" s="95" t="s">
        <v>72</v>
      </c>
      <c r="E50" s="102"/>
      <c r="F50" s="22"/>
      <c r="G50" s="22">
        <v>320</v>
      </c>
      <c r="I50" s="9" t="s">
        <v>23</v>
      </c>
      <c r="J50" s="11"/>
      <c r="K50" s="22">
        <v>320</v>
      </c>
      <c r="L50" s="21"/>
      <c r="M50" s="26"/>
      <c r="N50" s="27">
        <f t="shared" si="7"/>
        <v>320</v>
      </c>
      <c r="O50" s="28"/>
      <c r="P50" s="69">
        <f t="shared" si="4"/>
        <v>29</v>
      </c>
      <c r="Q50" s="70">
        <f t="shared" si="5"/>
        <v>0</v>
      </c>
      <c r="R50" s="27">
        <f t="shared" si="8"/>
        <v>29</v>
      </c>
    </row>
    <row r="51" spans="1:18" x14ac:dyDescent="0.4">
      <c r="A51" s="3" t="s">
        <v>154</v>
      </c>
      <c r="B51" s="4">
        <v>45448</v>
      </c>
      <c r="C51" s="5" t="s">
        <v>4</v>
      </c>
      <c r="D51" s="95" t="s">
        <v>155</v>
      </c>
      <c r="E51" s="102"/>
      <c r="F51" s="22"/>
      <c r="G51" s="22">
        <v>410</v>
      </c>
      <c r="I51" s="9" t="s">
        <v>23</v>
      </c>
      <c r="J51" s="11"/>
      <c r="K51" s="22">
        <v>410</v>
      </c>
      <c r="L51" s="21"/>
      <c r="M51" s="26"/>
      <c r="N51" s="27">
        <f t="shared" si="7"/>
        <v>410</v>
      </c>
      <c r="O51" s="28"/>
      <c r="P51" s="69">
        <f t="shared" si="4"/>
        <v>37</v>
      </c>
      <c r="Q51" s="70">
        <f t="shared" si="5"/>
        <v>0</v>
      </c>
      <c r="R51" s="27">
        <f t="shared" si="8"/>
        <v>37</v>
      </c>
    </row>
    <row r="52" spans="1:18" x14ac:dyDescent="0.4">
      <c r="A52" s="3" t="s">
        <v>154</v>
      </c>
      <c r="B52" s="4">
        <v>45448</v>
      </c>
      <c r="C52" s="5" t="s">
        <v>4</v>
      </c>
      <c r="D52" s="95" t="s">
        <v>156</v>
      </c>
      <c r="E52" s="102"/>
      <c r="F52" s="22"/>
      <c r="G52" s="22">
        <v>640</v>
      </c>
      <c r="I52" s="9" t="s">
        <v>23</v>
      </c>
      <c r="J52" s="11"/>
      <c r="K52" s="22">
        <v>640</v>
      </c>
      <c r="L52" s="21"/>
      <c r="M52" s="26"/>
      <c r="N52" s="27">
        <f t="shared" si="7"/>
        <v>640</v>
      </c>
      <c r="O52" s="28"/>
      <c r="P52" s="69">
        <f t="shared" si="4"/>
        <v>58</v>
      </c>
      <c r="Q52" s="70">
        <f t="shared" si="5"/>
        <v>0</v>
      </c>
      <c r="R52" s="27">
        <f t="shared" si="8"/>
        <v>58</v>
      </c>
    </row>
    <row r="53" spans="1:18" x14ac:dyDescent="0.4">
      <c r="A53" s="3" t="s">
        <v>154</v>
      </c>
      <c r="B53" s="4">
        <v>45448</v>
      </c>
      <c r="C53" s="5" t="s">
        <v>4</v>
      </c>
      <c r="D53" s="95" t="s">
        <v>157</v>
      </c>
      <c r="E53" s="102"/>
      <c r="F53" s="22"/>
      <c r="G53" s="22">
        <v>990</v>
      </c>
      <c r="I53" s="9" t="s">
        <v>23</v>
      </c>
      <c r="J53" s="11"/>
      <c r="K53" s="22">
        <v>990</v>
      </c>
      <c r="L53" s="21"/>
      <c r="M53" s="26"/>
      <c r="N53" s="27">
        <f>IF(K53+L53+M53=0,"",K53+L53+M53)</f>
        <v>990</v>
      </c>
      <c r="O53" s="28"/>
      <c r="P53" s="69">
        <f>ROUNDDOWN($K53/110*10,0)</f>
        <v>90</v>
      </c>
      <c r="Q53" s="70">
        <f>ROUNDDOWN($L53/108*8,0)</f>
        <v>0</v>
      </c>
      <c r="R53" s="27">
        <f>P53+Q53</f>
        <v>90</v>
      </c>
    </row>
    <row r="54" spans="1:18" x14ac:dyDescent="0.4">
      <c r="A54" s="3" t="s">
        <v>154</v>
      </c>
      <c r="B54" s="4">
        <v>45448</v>
      </c>
      <c r="C54" s="5" t="s">
        <v>4</v>
      </c>
      <c r="D54" s="95" t="s">
        <v>73</v>
      </c>
      <c r="E54" s="102"/>
      <c r="F54" s="22"/>
      <c r="G54" s="22">
        <v>310</v>
      </c>
      <c r="I54" s="9" t="s">
        <v>23</v>
      </c>
      <c r="J54" s="11"/>
      <c r="K54" s="22">
        <v>310</v>
      </c>
      <c r="L54" s="21"/>
      <c r="M54" s="26"/>
      <c r="N54" s="27">
        <f t="shared" si="7"/>
        <v>310</v>
      </c>
      <c r="O54" s="28"/>
      <c r="P54" s="69">
        <f t="shared" si="4"/>
        <v>28</v>
      </c>
      <c r="Q54" s="70">
        <f t="shared" si="5"/>
        <v>0</v>
      </c>
      <c r="R54" s="27">
        <f t="shared" si="8"/>
        <v>28</v>
      </c>
    </row>
    <row r="55" spans="1:18" x14ac:dyDescent="0.4">
      <c r="A55" s="3" t="s">
        <v>154</v>
      </c>
      <c r="B55" s="4">
        <v>45448</v>
      </c>
      <c r="C55" s="5" t="s">
        <v>4</v>
      </c>
      <c r="D55" s="95" t="s">
        <v>72</v>
      </c>
      <c r="E55" s="102"/>
      <c r="F55" s="22"/>
      <c r="G55" s="22">
        <v>320</v>
      </c>
      <c r="I55" s="9" t="s">
        <v>23</v>
      </c>
      <c r="J55" s="11"/>
      <c r="K55" s="22">
        <v>320</v>
      </c>
      <c r="L55" s="21"/>
      <c r="M55" s="26"/>
      <c r="N55" s="27">
        <f t="shared" si="7"/>
        <v>320</v>
      </c>
      <c r="O55" s="28"/>
      <c r="P55" s="69">
        <f t="shared" si="4"/>
        <v>29</v>
      </c>
      <c r="Q55" s="70">
        <f t="shared" si="5"/>
        <v>0</v>
      </c>
      <c r="R55" s="27">
        <f t="shared" si="8"/>
        <v>29</v>
      </c>
    </row>
    <row r="56" spans="1:18" x14ac:dyDescent="0.4">
      <c r="A56" s="3" t="s">
        <v>154</v>
      </c>
      <c r="B56" s="4">
        <v>45448</v>
      </c>
      <c r="C56" s="5" t="s">
        <v>4</v>
      </c>
      <c r="D56" s="95" t="s">
        <v>155</v>
      </c>
      <c r="E56" s="102"/>
      <c r="F56" s="22"/>
      <c r="G56" s="22">
        <v>410</v>
      </c>
      <c r="I56" s="9" t="s">
        <v>23</v>
      </c>
      <c r="J56" s="11"/>
      <c r="K56" s="22">
        <v>410</v>
      </c>
      <c r="L56" s="21"/>
      <c r="M56" s="26"/>
      <c r="N56" s="27">
        <f t="shared" si="7"/>
        <v>410</v>
      </c>
      <c r="O56" s="28"/>
      <c r="P56" s="69">
        <f t="shared" si="4"/>
        <v>37</v>
      </c>
      <c r="Q56" s="70">
        <f t="shared" si="5"/>
        <v>0</v>
      </c>
      <c r="R56" s="27">
        <f t="shared" si="8"/>
        <v>37</v>
      </c>
    </row>
    <row r="57" spans="1:18" x14ac:dyDescent="0.4">
      <c r="A57" s="3" t="s">
        <v>154</v>
      </c>
      <c r="B57" s="4">
        <v>45448</v>
      </c>
      <c r="C57" s="5" t="s">
        <v>4</v>
      </c>
      <c r="D57" s="95" t="s">
        <v>71</v>
      </c>
      <c r="E57" s="102"/>
      <c r="F57" s="22"/>
      <c r="G57" s="22">
        <v>410</v>
      </c>
      <c r="I57" s="9" t="s">
        <v>23</v>
      </c>
      <c r="J57" s="11"/>
      <c r="K57" s="22">
        <v>410</v>
      </c>
      <c r="L57" s="21"/>
      <c r="M57" s="26"/>
      <c r="N57" s="27">
        <f t="shared" si="7"/>
        <v>410</v>
      </c>
      <c r="O57" s="28"/>
      <c r="P57" s="69">
        <f t="shared" si="4"/>
        <v>37</v>
      </c>
      <c r="Q57" s="70">
        <f t="shared" si="5"/>
        <v>0</v>
      </c>
      <c r="R57" s="27">
        <f t="shared" si="8"/>
        <v>37</v>
      </c>
    </row>
    <row r="58" spans="1:18" x14ac:dyDescent="0.4">
      <c r="A58" s="3" t="s">
        <v>154</v>
      </c>
      <c r="B58" s="4">
        <v>45448</v>
      </c>
      <c r="C58" s="5" t="s">
        <v>4</v>
      </c>
      <c r="D58" s="95" t="s">
        <v>72</v>
      </c>
      <c r="E58" s="102"/>
      <c r="F58" s="22"/>
      <c r="G58" s="22">
        <v>320</v>
      </c>
      <c r="I58" s="9" t="s">
        <v>23</v>
      </c>
      <c r="J58" s="11"/>
      <c r="K58" s="22">
        <v>320</v>
      </c>
      <c r="L58" s="21"/>
      <c r="M58" s="26"/>
      <c r="N58" s="27">
        <f>IF(K58+L58+M58=0,"",K58+L58+M58)</f>
        <v>320</v>
      </c>
      <c r="O58" s="28"/>
      <c r="P58" s="69">
        <f>ROUNDDOWN($K58/110*10,0)</f>
        <v>29</v>
      </c>
      <c r="Q58" s="70">
        <f>ROUNDDOWN($L58/108*8,0)</f>
        <v>0</v>
      </c>
      <c r="R58" s="27">
        <f>P58+Q58</f>
        <v>29</v>
      </c>
    </row>
    <row r="59" spans="1:18" x14ac:dyDescent="0.4">
      <c r="A59" s="3" t="s">
        <v>154</v>
      </c>
      <c r="B59" s="4">
        <v>45449</v>
      </c>
      <c r="C59" s="5" t="s">
        <v>4</v>
      </c>
      <c r="D59" s="95" t="s">
        <v>72</v>
      </c>
      <c r="E59" s="102"/>
      <c r="F59" s="22"/>
      <c r="G59" s="22">
        <v>320</v>
      </c>
      <c r="I59" s="9" t="s">
        <v>23</v>
      </c>
      <c r="J59" s="11"/>
      <c r="K59" s="22">
        <v>320</v>
      </c>
      <c r="L59" s="21"/>
      <c r="M59" s="29"/>
      <c r="N59" s="27">
        <f t="shared" si="7"/>
        <v>320</v>
      </c>
      <c r="O59" s="28"/>
      <c r="P59" s="69">
        <f t="shared" si="4"/>
        <v>29</v>
      </c>
      <c r="Q59" s="70">
        <f t="shared" si="5"/>
        <v>0</v>
      </c>
      <c r="R59" s="27">
        <f t="shared" si="8"/>
        <v>29</v>
      </c>
    </row>
    <row r="60" spans="1:18" x14ac:dyDescent="0.4">
      <c r="A60" s="3" t="s">
        <v>154</v>
      </c>
      <c r="B60" s="4">
        <v>45449</v>
      </c>
      <c r="C60" s="5" t="s">
        <v>4</v>
      </c>
      <c r="D60" s="95" t="s">
        <v>155</v>
      </c>
      <c r="E60" s="102"/>
      <c r="F60" s="22"/>
      <c r="G60" s="22">
        <v>410</v>
      </c>
      <c r="I60" s="9" t="s">
        <v>23</v>
      </c>
      <c r="J60" s="11"/>
      <c r="K60" s="22">
        <v>410</v>
      </c>
      <c r="L60" s="21"/>
      <c r="M60" s="26"/>
      <c r="N60" s="27">
        <f t="shared" si="7"/>
        <v>410</v>
      </c>
      <c r="O60" s="28"/>
      <c r="P60" s="69">
        <f t="shared" si="4"/>
        <v>37</v>
      </c>
      <c r="Q60" s="70">
        <f t="shared" si="5"/>
        <v>0</v>
      </c>
      <c r="R60" s="27">
        <f t="shared" si="8"/>
        <v>37</v>
      </c>
    </row>
    <row r="61" spans="1:18" x14ac:dyDescent="0.4">
      <c r="A61" s="3" t="s">
        <v>154</v>
      </c>
      <c r="B61" s="4">
        <v>45449</v>
      </c>
      <c r="C61" s="5" t="s">
        <v>4</v>
      </c>
      <c r="D61" s="95" t="s">
        <v>156</v>
      </c>
      <c r="E61" s="102"/>
      <c r="F61" s="22"/>
      <c r="G61" s="22">
        <v>640</v>
      </c>
      <c r="I61" s="9" t="s">
        <v>23</v>
      </c>
      <c r="J61" s="11"/>
      <c r="K61" s="22">
        <v>640</v>
      </c>
      <c r="L61" s="21"/>
      <c r="M61" s="26"/>
      <c r="N61" s="27">
        <f t="shared" si="7"/>
        <v>640</v>
      </c>
      <c r="O61" s="28"/>
      <c r="P61" s="69">
        <f t="shared" si="4"/>
        <v>58</v>
      </c>
      <c r="Q61" s="70">
        <f t="shared" si="5"/>
        <v>0</v>
      </c>
      <c r="R61" s="27">
        <f t="shared" si="8"/>
        <v>58</v>
      </c>
    </row>
    <row r="62" spans="1:18" x14ac:dyDescent="0.4">
      <c r="A62" s="3" t="s">
        <v>154</v>
      </c>
      <c r="B62" s="4">
        <v>45449</v>
      </c>
      <c r="C62" s="5" t="s">
        <v>4</v>
      </c>
      <c r="D62" s="95" t="s">
        <v>157</v>
      </c>
      <c r="E62" s="102"/>
      <c r="F62" s="22"/>
      <c r="G62" s="22">
        <v>990</v>
      </c>
      <c r="I62" s="9" t="s">
        <v>23</v>
      </c>
      <c r="J62" s="11"/>
      <c r="K62" s="22">
        <v>990</v>
      </c>
      <c r="L62" s="21"/>
      <c r="M62" s="26"/>
      <c r="N62" s="27">
        <f t="shared" si="7"/>
        <v>990</v>
      </c>
      <c r="O62" s="28"/>
      <c r="P62" s="69">
        <f t="shared" si="4"/>
        <v>90</v>
      </c>
      <c r="Q62" s="70">
        <f t="shared" si="5"/>
        <v>0</v>
      </c>
      <c r="R62" s="27">
        <f t="shared" si="8"/>
        <v>90</v>
      </c>
    </row>
    <row r="63" spans="1:18" x14ac:dyDescent="0.4">
      <c r="A63" s="3" t="s">
        <v>154</v>
      </c>
      <c r="B63" s="4">
        <v>45449</v>
      </c>
      <c r="C63" s="5" t="s">
        <v>4</v>
      </c>
      <c r="D63" s="95" t="s">
        <v>73</v>
      </c>
      <c r="E63" s="102"/>
      <c r="F63" s="22"/>
      <c r="G63" s="22">
        <v>310</v>
      </c>
      <c r="I63" s="9" t="s">
        <v>23</v>
      </c>
      <c r="J63" s="11"/>
      <c r="K63" s="22">
        <v>310</v>
      </c>
      <c r="L63" s="21"/>
      <c r="M63" s="26"/>
      <c r="N63" s="27">
        <f t="shared" si="7"/>
        <v>310</v>
      </c>
      <c r="O63" s="28"/>
      <c r="P63" s="69">
        <f t="shared" si="4"/>
        <v>28</v>
      </c>
      <c r="Q63" s="70">
        <f t="shared" si="5"/>
        <v>0</v>
      </c>
      <c r="R63" s="27">
        <f t="shared" si="8"/>
        <v>28</v>
      </c>
    </row>
    <row r="64" spans="1:18" x14ac:dyDescent="0.4">
      <c r="A64" s="3" t="s">
        <v>154</v>
      </c>
      <c r="B64" s="4">
        <v>45449</v>
      </c>
      <c r="C64" s="5" t="s">
        <v>4</v>
      </c>
      <c r="D64" s="95" t="s">
        <v>72</v>
      </c>
      <c r="E64" s="102"/>
      <c r="F64" s="22"/>
      <c r="G64" s="22">
        <v>320</v>
      </c>
      <c r="I64" s="9" t="s">
        <v>23</v>
      </c>
      <c r="J64" s="11"/>
      <c r="K64" s="22">
        <v>320</v>
      </c>
      <c r="L64" s="21"/>
      <c r="M64" s="26"/>
      <c r="N64" s="27">
        <f t="shared" si="7"/>
        <v>320</v>
      </c>
      <c r="O64" s="28"/>
      <c r="P64" s="69">
        <f t="shared" si="4"/>
        <v>29</v>
      </c>
      <c r="Q64" s="70">
        <f t="shared" si="5"/>
        <v>0</v>
      </c>
      <c r="R64" s="27">
        <f t="shared" si="8"/>
        <v>29</v>
      </c>
    </row>
    <row r="65" spans="1:18" x14ac:dyDescent="0.4">
      <c r="A65" s="3" t="s">
        <v>154</v>
      </c>
      <c r="B65" s="4">
        <v>45449</v>
      </c>
      <c r="C65" s="5" t="s">
        <v>4</v>
      </c>
      <c r="D65" s="95" t="s">
        <v>155</v>
      </c>
      <c r="E65" s="102"/>
      <c r="F65" s="22"/>
      <c r="G65" s="22">
        <v>410</v>
      </c>
      <c r="I65" s="9" t="s">
        <v>23</v>
      </c>
      <c r="J65" s="11"/>
      <c r="K65" s="22">
        <v>410</v>
      </c>
      <c r="L65" s="21"/>
      <c r="M65" s="26"/>
      <c r="N65" s="27">
        <f t="shared" si="7"/>
        <v>410</v>
      </c>
      <c r="O65" s="28"/>
      <c r="P65" s="69">
        <f t="shared" si="4"/>
        <v>37</v>
      </c>
      <c r="Q65" s="70">
        <f t="shared" si="5"/>
        <v>0</v>
      </c>
      <c r="R65" s="27">
        <f t="shared" si="8"/>
        <v>37</v>
      </c>
    </row>
    <row r="66" spans="1:18" x14ac:dyDescent="0.4">
      <c r="A66" s="3" t="s">
        <v>154</v>
      </c>
      <c r="B66" s="4">
        <v>45449</v>
      </c>
      <c r="C66" s="5" t="s">
        <v>4</v>
      </c>
      <c r="D66" s="95" t="s">
        <v>72</v>
      </c>
      <c r="E66" s="102"/>
      <c r="F66" s="22"/>
      <c r="G66" s="22">
        <v>320</v>
      </c>
      <c r="I66" s="9" t="s">
        <v>23</v>
      </c>
      <c r="J66" s="11"/>
      <c r="K66" s="22">
        <v>320</v>
      </c>
      <c r="L66" s="21"/>
      <c r="M66" s="26"/>
      <c r="N66" s="27">
        <f t="shared" si="7"/>
        <v>320</v>
      </c>
      <c r="O66" s="28"/>
      <c r="P66" s="69">
        <f t="shared" si="4"/>
        <v>29</v>
      </c>
      <c r="Q66" s="70">
        <f t="shared" si="5"/>
        <v>0</v>
      </c>
      <c r="R66" s="27">
        <f t="shared" si="8"/>
        <v>29</v>
      </c>
    </row>
    <row r="67" spans="1:18" x14ac:dyDescent="0.4">
      <c r="A67" s="3" t="s">
        <v>154</v>
      </c>
      <c r="B67" s="4">
        <v>45450</v>
      </c>
      <c r="C67" s="5" t="s">
        <v>4</v>
      </c>
      <c r="D67" s="95" t="s">
        <v>72</v>
      </c>
      <c r="E67" s="102"/>
      <c r="F67" s="22"/>
      <c r="G67" s="22">
        <v>320</v>
      </c>
      <c r="I67" s="9" t="s">
        <v>23</v>
      </c>
      <c r="J67" s="11"/>
      <c r="K67" s="22">
        <v>320</v>
      </c>
      <c r="L67" s="21"/>
      <c r="M67" s="26"/>
      <c r="N67" s="27">
        <f t="shared" si="7"/>
        <v>320</v>
      </c>
      <c r="O67" s="28"/>
      <c r="P67" s="69">
        <f t="shared" si="4"/>
        <v>29</v>
      </c>
      <c r="Q67" s="70">
        <f t="shared" si="5"/>
        <v>0</v>
      </c>
      <c r="R67" s="27">
        <f t="shared" si="8"/>
        <v>29</v>
      </c>
    </row>
    <row r="68" spans="1:18" x14ac:dyDescent="0.4">
      <c r="A68" s="3" t="s">
        <v>154</v>
      </c>
      <c r="B68" s="4">
        <v>45450</v>
      </c>
      <c r="C68" s="5" t="s">
        <v>4</v>
      </c>
      <c r="D68" s="95" t="s">
        <v>155</v>
      </c>
      <c r="E68" s="102"/>
      <c r="F68" s="22"/>
      <c r="G68" s="22">
        <v>410</v>
      </c>
      <c r="I68" s="9" t="s">
        <v>23</v>
      </c>
      <c r="J68" s="11"/>
      <c r="K68" s="22">
        <v>410</v>
      </c>
      <c r="L68" s="21"/>
      <c r="M68" s="26"/>
      <c r="N68" s="27">
        <f t="shared" si="7"/>
        <v>410</v>
      </c>
      <c r="O68" s="28"/>
      <c r="P68" s="69">
        <f t="shared" si="4"/>
        <v>37</v>
      </c>
      <c r="Q68" s="70">
        <f t="shared" si="5"/>
        <v>0</v>
      </c>
      <c r="R68" s="27">
        <f t="shared" si="8"/>
        <v>37</v>
      </c>
    </row>
    <row r="69" spans="1:18" x14ac:dyDescent="0.4">
      <c r="A69" s="3" t="s">
        <v>154</v>
      </c>
      <c r="B69" s="4">
        <v>45450</v>
      </c>
      <c r="C69" s="5" t="s">
        <v>4</v>
      </c>
      <c r="D69" s="95" t="s">
        <v>156</v>
      </c>
      <c r="E69" s="102"/>
      <c r="F69" s="22"/>
      <c r="G69" s="22">
        <v>640</v>
      </c>
      <c r="I69" s="9" t="s">
        <v>23</v>
      </c>
      <c r="J69" s="11"/>
      <c r="K69" s="22">
        <v>640</v>
      </c>
      <c r="L69" s="21"/>
      <c r="M69" s="26"/>
      <c r="N69" s="27">
        <f t="shared" si="7"/>
        <v>640</v>
      </c>
      <c r="O69" s="28"/>
      <c r="P69" s="69">
        <f t="shared" si="4"/>
        <v>58</v>
      </c>
      <c r="Q69" s="70">
        <f t="shared" si="5"/>
        <v>0</v>
      </c>
      <c r="R69" s="27">
        <f t="shared" si="8"/>
        <v>58</v>
      </c>
    </row>
    <row r="70" spans="1:18" x14ac:dyDescent="0.4">
      <c r="A70" s="3" t="s">
        <v>154</v>
      </c>
      <c r="B70" s="4">
        <v>45450</v>
      </c>
      <c r="C70" s="5" t="s">
        <v>4</v>
      </c>
      <c r="D70" s="95" t="s">
        <v>157</v>
      </c>
      <c r="E70" s="102"/>
      <c r="F70" s="22"/>
      <c r="G70" s="22">
        <v>990</v>
      </c>
      <c r="I70" s="9" t="s">
        <v>23</v>
      </c>
      <c r="J70" s="11"/>
      <c r="K70" s="22">
        <v>990</v>
      </c>
      <c r="L70" s="21"/>
      <c r="M70" s="26"/>
      <c r="N70" s="27">
        <f t="shared" si="7"/>
        <v>990</v>
      </c>
      <c r="O70" s="28"/>
      <c r="P70" s="69">
        <f t="shared" si="4"/>
        <v>90</v>
      </c>
      <c r="Q70" s="70">
        <f t="shared" si="5"/>
        <v>0</v>
      </c>
      <c r="R70" s="27">
        <f t="shared" si="8"/>
        <v>90</v>
      </c>
    </row>
    <row r="71" spans="1:18" x14ac:dyDescent="0.4">
      <c r="A71" s="3" t="s">
        <v>154</v>
      </c>
      <c r="B71" s="4">
        <v>45450</v>
      </c>
      <c r="C71" s="5" t="s">
        <v>4</v>
      </c>
      <c r="D71" s="95" t="s">
        <v>158</v>
      </c>
      <c r="E71" s="102"/>
      <c r="F71" s="22"/>
      <c r="G71" s="22">
        <v>990</v>
      </c>
      <c r="I71" s="9" t="s">
        <v>23</v>
      </c>
      <c r="J71" s="11"/>
      <c r="K71" s="22">
        <v>990</v>
      </c>
      <c r="L71" s="21"/>
      <c r="M71" s="26"/>
      <c r="N71" s="27">
        <f t="shared" si="7"/>
        <v>990</v>
      </c>
      <c r="O71" s="28"/>
      <c r="P71" s="69">
        <f t="shared" si="4"/>
        <v>90</v>
      </c>
      <c r="Q71" s="70">
        <f t="shared" si="5"/>
        <v>0</v>
      </c>
      <c r="R71" s="27">
        <f t="shared" si="8"/>
        <v>90</v>
      </c>
    </row>
    <row r="72" spans="1:18" x14ac:dyDescent="0.4">
      <c r="A72" s="3" t="s">
        <v>154</v>
      </c>
      <c r="B72" s="4">
        <v>45450</v>
      </c>
      <c r="C72" s="5" t="s">
        <v>4</v>
      </c>
      <c r="D72" s="95" t="s">
        <v>78</v>
      </c>
      <c r="E72" s="102"/>
      <c r="F72" s="22"/>
      <c r="G72" s="22">
        <v>640</v>
      </c>
      <c r="I72" s="9" t="s">
        <v>23</v>
      </c>
      <c r="J72" s="11"/>
      <c r="K72" s="22">
        <v>640</v>
      </c>
      <c r="L72" s="21"/>
      <c r="M72" s="26"/>
      <c r="N72" s="27">
        <f t="shared" si="7"/>
        <v>640</v>
      </c>
      <c r="O72" s="28"/>
      <c r="P72" s="69">
        <f t="shared" si="4"/>
        <v>58</v>
      </c>
      <c r="Q72" s="70">
        <f t="shared" si="5"/>
        <v>0</v>
      </c>
      <c r="R72" s="27">
        <f t="shared" si="8"/>
        <v>58</v>
      </c>
    </row>
    <row r="73" spans="1:18" x14ac:dyDescent="0.4">
      <c r="A73" s="3" t="s">
        <v>154</v>
      </c>
      <c r="B73" s="4">
        <v>45450</v>
      </c>
      <c r="C73" s="5" t="s">
        <v>4</v>
      </c>
      <c r="D73" s="95" t="s">
        <v>71</v>
      </c>
      <c r="E73" s="102"/>
      <c r="F73" s="22"/>
      <c r="G73" s="22">
        <v>410</v>
      </c>
      <c r="I73" s="9" t="s">
        <v>23</v>
      </c>
      <c r="J73" s="11"/>
      <c r="K73" s="22">
        <v>410</v>
      </c>
      <c r="L73" s="21"/>
      <c r="M73" s="26"/>
      <c r="N73" s="27">
        <f t="shared" si="7"/>
        <v>410</v>
      </c>
      <c r="O73" s="28"/>
      <c r="P73" s="69">
        <f t="shared" si="4"/>
        <v>37</v>
      </c>
      <c r="Q73" s="70">
        <f t="shared" si="5"/>
        <v>0</v>
      </c>
      <c r="R73" s="27">
        <f t="shared" si="8"/>
        <v>37</v>
      </c>
    </row>
    <row r="74" spans="1:18" x14ac:dyDescent="0.4">
      <c r="A74" s="3" t="s">
        <v>154</v>
      </c>
      <c r="B74" s="4">
        <v>45450</v>
      </c>
      <c r="C74" s="5" t="s">
        <v>4</v>
      </c>
      <c r="D74" s="95" t="s">
        <v>72</v>
      </c>
      <c r="E74" s="102"/>
      <c r="F74" s="22"/>
      <c r="G74" s="22">
        <v>320</v>
      </c>
      <c r="I74" s="9" t="s">
        <v>23</v>
      </c>
      <c r="J74" s="11"/>
      <c r="K74" s="22">
        <v>320</v>
      </c>
      <c r="L74" s="21"/>
      <c r="M74" s="26"/>
      <c r="N74" s="27">
        <f t="shared" si="7"/>
        <v>320</v>
      </c>
      <c r="O74" s="28"/>
      <c r="P74" s="69">
        <f t="shared" si="4"/>
        <v>29</v>
      </c>
      <c r="Q74" s="70">
        <f t="shared" si="5"/>
        <v>0</v>
      </c>
      <c r="R74" s="27">
        <f t="shared" si="8"/>
        <v>29</v>
      </c>
    </row>
    <row r="75" spans="1:18" x14ac:dyDescent="0.4">
      <c r="A75" s="54"/>
      <c r="B75" s="55"/>
      <c r="C75" s="56"/>
      <c r="D75" s="93" t="s">
        <v>167</v>
      </c>
      <c r="E75" s="94"/>
      <c r="F75" s="57"/>
      <c r="G75" s="57"/>
      <c r="H75" s="58"/>
      <c r="I75" s="59"/>
      <c r="J75" s="60"/>
      <c r="K75" s="61"/>
      <c r="L75" s="62"/>
      <c r="M75" s="63"/>
      <c r="N75" s="64" t="str">
        <f t="shared" si="0"/>
        <v/>
      </c>
    </row>
    <row r="76" spans="1:18" x14ac:dyDescent="0.4">
      <c r="A76" s="3"/>
      <c r="B76" s="4">
        <v>45471</v>
      </c>
      <c r="C76" s="5" t="s">
        <v>161</v>
      </c>
      <c r="D76" s="95" t="s">
        <v>162</v>
      </c>
      <c r="E76" s="102"/>
      <c r="F76" s="20"/>
      <c r="G76" s="21">
        <v>9251</v>
      </c>
      <c r="H76" s="1"/>
      <c r="I76" s="9" t="s">
        <v>23</v>
      </c>
      <c r="J76" s="11"/>
      <c r="K76" s="25">
        <v>9251</v>
      </c>
      <c r="L76" s="21"/>
      <c r="M76" s="26"/>
      <c r="N76" s="27">
        <f t="shared" si="0"/>
        <v>9251</v>
      </c>
      <c r="O76" s="28"/>
      <c r="P76" s="69">
        <f t="shared" ref="P76:P80" si="9">ROUNDDOWN($K76/110*10,0)</f>
        <v>841</v>
      </c>
      <c r="Q76" s="70">
        <f t="shared" ref="Q76:Q80" si="10">ROUNDDOWN($L76/108*8,0)</f>
        <v>0</v>
      </c>
      <c r="R76" s="27">
        <f t="shared" ref="R76:R80" si="11">P76+Q76</f>
        <v>841</v>
      </c>
    </row>
    <row r="77" spans="1:18" x14ac:dyDescent="0.4">
      <c r="A77" s="3"/>
      <c r="B77" s="4">
        <v>45471</v>
      </c>
      <c r="C77" s="5" t="s">
        <v>161</v>
      </c>
      <c r="D77" s="95" t="s">
        <v>163</v>
      </c>
      <c r="E77" s="102"/>
      <c r="F77" s="22"/>
      <c r="G77" s="22">
        <v>14037</v>
      </c>
      <c r="I77" s="9" t="s">
        <v>23</v>
      </c>
      <c r="J77" s="11"/>
      <c r="K77" s="25">
        <v>1489</v>
      </c>
      <c r="L77" s="21">
        <v>12548</v>
      </c>
      <c r="M77" s="26"/>
      <c r="N77" s="27">
        <f t="shared" si="0"/>
        <v>14037</v>
      </c>
      <c r="O77" s="28"/>
      <c r="P77" s="69">
        <f t="shared" si="9"/>
        <v>135</v>
      </c>
      <c r="Q77" s="70">
        <f t="shared" si="10"/>
        <v>929</v>
      </c>
      <c r="R77" s="27">
        <f t="shared" si="11"/>
        <v>1064</v>
      </c>
    </row>
    <row r="78" spans="1:18" x14ac:dyDescent="0.4">
      <c r="A78" s="3"/>
      <c r="B78" s="4">
        <v>45471</v>
      </c>
      <c r="C78" s="5" t="s">
        <v>161</v>
      </c>
      <c r="D78" s="95" t="s">
        <v>164</v>
      </c>
      <c r="E78" s="102"/>
      <c r="F78" s="22"/>
      <c r="G78" s="22">
        <v>83590</v>
      </c>
      <c r="I78" s="9" t="s">
        <v>23</v>
      </c>
      <c r="J78" s="11"/>
      <c r="K78" s="25"/>
      <c r="L78" s="21">
        <v>83590</v>
      </c>
      <c r="M78" s="26"/>
      <c r="N78" s="27">
        <f t="shared" si="0"/>
        <v>83590</v>
      </c>
      <c r="O78" s="28"/>
      <c r="P78" s="69">
        <f t="shared" si="9"/>
        <v>0</v>
      </c>
      <c r="Q78" s="70">
        <f t="shared" si="10"/>
        <v>6191</v>
      </c>
      <c r="R78" s="27">
        <f t="shared" si="11"/>
        <v>6191</v>
      </c>
    </row>
    <row r="79" spans="1:18" x14ac:dyDescent="0.4">
      <c r="A79" s="3"/>
      <c r="B79" s="4">
        <v>45471</v>
      </c>
      <c r="C79" s="5" t="s">
        <v>161</v>
      </c>
      <c r="D79" s="95" t="s">
        <v>165</v>
      </c>
      <c r="E79" s="102"/>
      <c r="F79" s="22"/>
      <c r="G79" s="22">
        <v>62905</v>
      </c>
      <c r="I79" s="9" t="s">
        <v>23</v>
      </c>
      <c r="J79" s="11"/>
      <c r="K79" s="25"/>
      <c r="L79" s="21">
        <v>62905</v>
      </c>
      <c r="M79" s="26"/>
      <c r="N79" s="27">
        <f t="shared" si="0"/>
        <v>62905</v>
      </c>
      <c r="O79" s="28"/>
      <c r="P79" s="69">
        <f t="shared" si="9"/>
        <v>0</v>
      </c>
      <c r="Q79" s="70">
        <f t="shared" si="10"/>
        <v>4659</v>
      </c>
      <c r="R79" s="27">
        <f t="shared" si="11"/>
        <v>4659</v>
      </c>
    </row>
    <row r="80" spans="1:18" x14ac:dyDescent="0.4">
      <c r="A80" s="3"/>
      <c r="B80" s="4">
        <v>45472</v>
      </c>
      <c r="C80" s="5" t="s">
        <v>161</v>
      </c>
      <c r="D80" s="95" t="s">
        <v>166</v>
      </c>
      <c r="E80" s="102"/>
      <c r="F80" s="22"/>
      <c r="G80" s="22">
        <v>50697</v>
      </c>
      <c r="I80" s="9" t="s">
        <v>23</v>
      </c>
      <c r="J80" s="11"/>
      <c r="K80" s="25">
        <v>35617</v>
      </c>
      <c r="L80" s="21">
        <v>15080</v>
      </c>
      <c r="M80" s="26"/>
      <c r="N80" s="27">
        <f t="shared" si="0"/>
        <v>50697</v>
      </c>
      <c r="O80" s="28"/>
      <c r="P80" s="69">
        <f t="shared" si="9"/>
        <v>3237</v>
      </c>
      <c r="Q80" s="70">
        <f t="shared" si="10"/>
        <v>1117</v>
      </c>
      <c r="R80" s="27">
        <f t="shared" si="11"/>
        <v>4354</v>
      </c>
    </row>
    <row r="81" spans="1:18" x14ac:dyDescent="0.4">
      <c r="A81" s="54"/>
      <c r="B81" s="55"/>
      <c r="C81" s="56"/>
      <c r="D81" s="93" t="s">
        <v>168</v>
      </c>
      <c r="E81" s="94"/>
      <c r="F81" s="57"/>
      <c r="G81" s="57"/>
      <c r="H81" s="65"/>
      <c r="I81" s="59"/>
      <c r="J81" s="60"/>
      <c r="K81" s="61"/>
      <c r="L81" s="62"/>
      <c r="M81" s="63"/>
      <c r="N81" s="64" t="str">
        <f>IF(K81+L81+M81=0,"",K81+L81+M81)</f>
        <v/>
      </c>
    </row>
    <row r="82" spans="1:18" x14ac:dyDescent="0.4">
      <c r="A82" s="3" t="s">
        <v>178</v>
      </c>
      <c r="B82" s="4">
        <v>45446</v>
      </c>
      <c r="C82" s="5" t="s">
        <v>4</v>
      </c>
      <c r="D82" s="95" t="s">
        <v>179</v>
      </c>
      <c r="E82" s="96"/>
      <c r="F82" s="20"/>
      <c r="G82" s="21">
        <v>1940</v>
      </c>
      <c r="H82" s="1"/>
      <c r="I82" s="9" t="s">
        <v>23</v>
      </c>
      <c r="J82" s="11"/>
      <c r="K82" s="25">
        <v>1940</v>
      </c>
      <c r="L82" s="21"/>
      <c r="M82" s="26"/>
      <c r="N82" s="27">
        <f t="shared" ref="N82:N93" si="12">IF(K82+L82+M82=0,"",K82+L82+M82)</f>
        <v>1940</v>
      </c>
      <c r="O82" s="28"/>
      <c r="P82" s="69">
        <f t="shared" ref="P82:P93" si="13">ROUNDDOWN($K82/110*10,0)</f>
        <v>176</v>
      </c>
      <c r="Q82" s="70">
        <f t="shared" ref="Q82:Q93" si="14">ROUNDDOWN($L82/108*8,0)</f>
        <v>0</v>
      </c>
      <c r="R82" s="27">
        <f t="shared" ref="R82:R93" si="15">P82+Q82</f>
        <v>176</v>
      </c>
    </row>
    <row r="83" spans="1:18" x14ac:dyDescent="0.4">
      <c r="A83" s="3" t="s">
        <v>39</v>
      </c>
      <c r="B83" s="4">
        <v>45446</v>
      </c>
      <c r="C83" s="5" t="s">
        <v>4</v>
      </c>
      <c r="D83" s="95" t="s">
        <v>180</v>
      </c>
      <c r="E83" s="96"/>
      <c r="F83" s="22"/>
      <c r="G83" s="22">
        <v>2890</v>
      </c>
      <c r="I83" s="9" t="s">
        <v>23</v>
      </c>
      <c r="J83" s="11"/>
      <c r="K83" s="25">
        <v>2890</v>
      </c>
      <c r="L83" s="21"/>
      <c r="M83" s="26"/>
      <c r="N83" s="27">
        <f t="shared" si="12"/>
        <v>2890</v>
      </c>
      <c r="O83" s="28"/>
      <c r="P83" s="69">
        <f t="shared" si="13"/>
        <v>262</v>
      </c>
      <c r="Q83" s="70">
        <f t="shared" si="14"/>
        <v>0</v>
      </c>
      <c r="R83" s="27">
        <f t="shared" si="15"/>
        <v>262</v>
      </c>
    </row>
    <row r="84" spans="1:18" x14ac:dyDescent="0.4">
      <c r="A84" s="3" t="s">
        <v>39</v>
      </c>
      <c r="B84" s="4">
        <v>45450</v>
      </c>
      <c r="C84" s="5" t="s">
        <v>4</v>
      </c>
      <c r="D84" s="95" t="s">
        <v>181</v>
      </c>
      <c r="E84" s="96"/>
      <c r="F84" s="22"/>
      <c r="G84" s="22">
        <v>2890</v>
      </c>
      <c r="I84" s="9" t="s">
        <v>23</v>
      </c>
      <c r="J84" s="11"/>
      <c r="K84" s="25">
        <v>2890</v>
      </c>
      <c r="L84" s="21"/>
      <c r="M84" s="26"/>
      <c r="N84" s="27">
        <f t="shared" si="12"/>
        <v>2890</v>
      </c>
      <c r="O84" s="28"/>
      <c r="P84" s="69">
        <f t="shared" si="13"/>
        <v>262</v>
      </c>
      <c r="Q84" s="70">
        <f t="shared" si="14"/>
        <v>0</v>
      </c>
      <c r="R84" s="27">
        <f t="shared" si="15"/>
        <v>262</v>
      </c>
    </row>
    <row r="85" spans="1:18" x14ac:dyDescent="0.4">
      <c r="A85" s="3" t="s">
        <v>39</v>
      </c>
      <c r="B85" s="4">
        <v>45450</v>
      </c>
      <c r="C85" s="5" t="s">
        <v>4</v>
      </c>
      <c r="D85" s="95" t="s">
        <v>182</v>
      </c>
      <c r="E85" s="96"/>
      <c r="F85" s="22"/>
      <c r="G85" s="22">
        <v>1940</v>
      </c>
      <c r="I85" s="9" t="s">
        <v>23</v>
      </c>
      <c r="J85" s="11"/>
      <c r="K85" s="25">
        <v>1940</v>
      </c>
      <c r="L85" s="21"/>
      <c r="M85" s="26"/>
      <c r="N85" s="27">
        <f t="shared" si="12"/>
        <v>1940</v>
      </c>
      <c r="O85" s="28"/>
      <c r="P85" s="69">
        <f t="shared" si="13"/>
        <v>176</v>
      </c>
      <c r="Q85" s="70">
        <f t="shared" si="14"/>
        <v>0</v>
      </c>
      <c r="R85" s="27">
        <f t="shared" si="15"/>
        <v>176</v>
      </c>
    </row>
    <row r="86" spans="1:18" x14ac:dyDescent="0.4">
      <c r="A86" s="3" t="s">
        <v>39</v>
      </c>
      <c r="B86" s="4">
        <v>45460</v>
      </c>
      <c r="C86" s="5" t="s">
        <v>4</v>
      </c>
      <c r="D86" s="95" t="s">
        <v>179</v>
      </c>
      <c r="E86" s="96"/>
      <c r="F86" s="22"/>
      <c r="G86" s="22">
        <v>1940</v>
      </c>
      <c r="I86" s="9" t="s">
        <v>23</v>
      </c>
      <c r="J86" s="11"/>
      <c r="K86" s="25">
        <v>1940</v>
      </c>
      <c r="L86" s="21"/>
      <c r="M86" s="26"/>
      <c r="N86" s="27">
        <f t="shared" si="12"/>
        <v>1940</v>
      </c>
      <c r="O86" s="28"/>
      <c r="P86" s="69">
        <f t="shared" si="13"/>
        <v>176</v>
      </c>
      <c r="Q86" s="70">
        <f t="shared" si="14"/>
        <v>0</v>
      </c>
      <c r="R86" s="27">
        <f t="shared" si="15"/>
        <v>176</v>
      </c>
    </row>
    <row r="87" spans="1:18" x14ac:dyDescent="0.4">
      <c r="A87" s="3" t="s">
        <v>39</v>
      </c>
      <c r="B87" s="4">
        <v>45460</v>
      </c>
      <c r="C87" s="5" t="s">
        <v>4</v>
      </c>
      <c r="D87" s="95" t="s">
        <v>180</v>
      </c>
      <c r="E87" s="96"/>
      <c r="F87" s="22"/>
      <c r="G87" s="22">
        <v>2890</v>
      </c>
      <c r="I87" s="9" t="s">
        <v>23</v>
      </c>
      <c r="J87" s="11"/>
      <c r="K87" s="25">
        <v>2890</v>
      </c>
      <c r="L87" s="21"/>
      <c r="M87" s="26"/>
      <c r="N87" s="27">
        <f t="shared" si="12"/>
        <v>2890</v>
      </c>
      <c r="O87" s="28"/>
      <c r="P87" s="69">
        <f t="shared" si="13"/>
        <v>262</v>
      </c>
      <c r="Q87" s="70">
        <f t="shared" si="14"/>
        <v>0</v>
      </c>
      <c r="R87" s="27">
        <f t="shared" si="15"/>
        <v>262</v>
      </c>
    </row>
    <row r="88" spans="1:18" x14ac:dyDescent="0.4">
      <c r="A88" s="3" t="s">
        <v>39</v>
      </c>
      <c r="B88" s="4">
        <v>45464</v>
      </c>
      <c r="C88" s="5" t="s">
        <v>4</v>
      </c>
      <c r="D88" s="95" t="s">
        <v>183</v>
      </c>
      <c r="E88" s="96"/>
      <c r="F88" s="22"/>
      <c r="G88" s="22">
        <v>3080</v>
      </c>
      <c r="I88" s="9" t="s">
        <v>23</v>
      </c>
      <c r="J88" s="11"/>
      <c r="K88" s="25">
        <v>3080</v>
      </c>
      <c r="L88" s="21"/>
      <c r="M88" s="26"/>
      <c r="N88" s="27">
        <f t="shared" si="12"/>
        <v>3080</v>
      </c>
      <c r="O88" s="28"/>
      <c r="P88" s="69">
        <f t="shared" si="13"/>
        <v>280</v>
      </c>
      <c r="Q88" s="70">
        <f t="shared" si="14"/>
        <v>0</v>
      </c>
      <c r="R88" s="27">
        <f t="shared" si="15"/>
        <v>280</v>
      </c>
    </row>
    <row r="89" spans="1:18" x14ac:dyDescent="0.4">
      <c r="A89" s="3" t="s">
        <v>39</v>
      </c>
      <c r="B89" s="4">
        <v>45464</v>
      </c>
      <c r="C89" s="5" t="s">
        <v>4</v>
      </c>
      <c r="D89" s="95" t="s">
        <v>184</v>
      </c>
      <c r="E89" s="96"/>
      <c r="F89" s="22"/>
      <c r="G89" s="22">
        <v>1470</v>
      </c>
      <c r="I89" s="9" t="s">
        <v>23</v>
      </c>
      <c r="J89" s="11"/>
      <c r="K89" s="25">
        <v>1470</v>
      </c>
      <c r="L89" s="21"/>
      <c r="M89" s="26"/>
      <c r="N89" s="27">
        <f t="shared" si="12"/>
        <v>1470</v>
      </c>
      <c r="O89" s="28"/>
      <c r="P89" s="69">
        <f t="shared" si="13"/>
        <v>133</v>
      </c>
      <c r="Q89" s="70">
        <f t="shared" si="14"/>
        <v>0</v>
      </c>
      <c r="R89" s="27">
        <f t="shared" si="15"/>
        <v>133</v>
      </c>
    </row>
    <row r="90" spans="1:18" x14ac:dyDescent="0.4">
      <c r="A90" s="3" t="s">
        <v>39</v>
      </c>
      <c r="B90" s="4">
        <v>45467</v>
      </c>
      <c r="C90" s="5" t="s">
        <v>4</v>
      </c>
      <c r="D90" s="95" t="s">
        <v>185</v>
      </c>
      <c r="E90" s="96"/>
      <c r="F90" s="22"/>
      <c r="G90" s="22">
        <v>1940</v>
      </c>
      <c r="I90" s="9" t="s">
        <v>23</v>
      </c>
      <c r="J90" s="11"/>
      <c r="K90" s="25">
        <v>1940</v>
      </c>
      <c r="L90" s="21"/>
      <c r="M90" s="26"/>
      <c r="N90" s="27">
        <f t="shared" si="12"/>
        <v>1940</v>
      </c>
      <c r="O90" s="28"/>
      <c r="P90" s="69">
        <f t="shared" si="13"/>
        <v>176</v>
      </c>
      <c r="Q90" s="70">
        <f t="shared" si="14"/>
        <v>0</v>
      </c>
      <c r="R90" s="27">
        <f t="shared" si="15"/>
        <v>176</v>
      </c>
    </row>
    <row r="91" spans="1:18" x14ac:dyDescent="0.4">
      <c r="A91" s="3" t="s">
        <v>39</v>
      </c>
      <c r="B91" s="4">
        <v>45467</v>
      </c>
      <c r="C91" s="5" t="s">
        <v>4</v>
      </c>
      <c r="D91" s="95" t="s">
        <v>180</v>
      </c>
      <c r="E91" s="96"/>
      <c r="F91" s="22"/>
      <c r="G91" s="22">
        <v>2890</v>
      </c>
      <c r="I91" s="9" t="s">
        <v>23</v>
      </c>
      <c r="J91" s="11"/>
      <c r="K91" s="25">
        <v>2890</v>
      </c>
      <c r="L91" s="21"/>
      <c r="M91" s="26"/>
      <c r="N91" s="27">
        <f t="shared" si="12"/>
        <v>2890</v>
      </c>
      <c r="O91" s="28"/>
      <c r="P91" s="69">
        <f t="shared" si="13"/>
        <v>262</v>
      </c>
      <c r="Q91" s="70">
        <f t="shared" si="14"/>
        <v>0</v>
      </c>
      <c r="R91" s="27">
        <f t="shared" si="15"/>
        <v>262</v>
      </c>
    </row>
    <row r="92" spans="1:18" x14ac:dyDescent="0.4">
      <c r="A92" s="3" t="s">
        <v>39</v>
      </c>
      <c r="B92" s="4">
        <v>45471</v>
      </c>
      <c r="C92" s="5" t="s">
        <v>4</v>
      </c>
      <c r="D92" s="95" t="s">
        <v>181</v>
      </c>
      <c r="E92" s="96"/>
      <c r="F92" s="22"/>
      <c r="G92" s="22">
        <v>2890</v>
      </c>
      <c r="I92" s="9" t="s">
        <v>23</v>
      </c>
      <c r="J92" s="11"/>
      <c r="K92" s="25">
        <v>2890</v>
      </c>
      <c r="L92" s="21"/>
      <c r="M92" s="29"/>
      <c r="N92" s="27">
        <f t="shared" si="12"/>
        <v>2890</v>
      </c>
      <c r="O92" s="28"/>
      <c r="P92" s="69">
        <f t="shared" si="13"/>
        <v>262</v>
      </c>
      <c r="Q92" s="70">
        <f t="shared" si="14"/>
        <v>0</v>
      </c>
      <c r="R92" s="27">
        <f t="shared" si="15"/>
        <v>262</v>
      </c>
    </row>
    <row r="93" spans="1:18" x14ac:dyDescent="0.4">
      <c r="A93" s="3" t="s">
        <v>39</v>
      </c>
      <c r="B93" s="4">
        <v>45471</v>
      </c>
      <c r="C93" s="5" t="s">
        <v>4</v>
      </c>
      <c r="D93" s="95" t="s">
        <v>182</v>
      </c>
      <c r="E93" s="96"/>
      <c r="F93" s="22"/>
      <c r="G93" s="22">
        <v>1940</v>
      </c>
      <c r="I93" s="9" t="s">
        <v>23</v>
      </c>
      <c r="J93" s="11"/>
      <c r="K93" s="25">
        <v>1940</v>
      </c>
      <c r="L93" s="21"/>
      <c r="M93" s="26"/>
      <c r="N93" s="27">
        <f t="shared" si="12"/>
        <v>1940</v>
      </c>
      <c r="O93" s="28"/>
      <c r="P93" s="69">
        <f t="shared" si="13"/>
        <v>176</v>
      </c>
      <c r="Q93" s="70">
        <f t="shared" si="14"/>
        <v>0</v>
      </c>
      <c r="R93" s="27">
        <f t="shared" si="15"/>
        <v>176</v>
      </c>
    </row>
    <row r="94" spans="1:18" x14ac:dyDescent="0.4">
      <c r="A94" s="54"/>
      <c r="B94" s="55"/>
      <c r="C94" s="56"/>
      <c r="D94" s="93" t="s">
        <v>169</v>
      </c>
      <c r="E94" s="94"/>
      <c r="F94" s="57"/>
      <c r="G94" s="57"/>
      <c r="H94" s="65"/>
      <c r="I94" s="59"/>
      <c r="J94" s="60"/>
      <c r="K94" s="61"/>
      <c r="L94" s="62"/>
      <c r="M94" s="63"/>
      <c r="N94" s="64" t="str">
        <f>IF(K94+L94+M94=0,"",K94+L94+M94)</f>
        <v/>
      </c>
    </row>
    <row r="95" spans="1:18" x14ac:dyDescent="0.4">
      <c r="A95" s="54"/>
      <c r="B95" s="55">
        <v>45453</v>
      </c>
      <c r="C95" s="56" t="s">
        <v>4</v>
      </c>
      <c r="D95" s="93" t="s">
        <v>170</v>
      </c>
      <c r="E95" s="97" t="s">
        <v>170</v>
      </c>
      <c r="F95" s="57"/>
      <c r="G95" s="90">
        <v>5000</v>
      </c>
      <c r="H95" s="65"/>
      <c r="I95" s="59" t="s">
        <v>23</v>
      </c>
      <c r="J95" s="60"/>
      <c r="K95" s="61">
        <v>5000</v>
      </c>
      <c r="L95" s="62"/>
      <c r="M95" s="63"/>
      <c r="N95" s="64">
        <f t="shared" si="0"/>
        <v>5000</v>
      </c>
    </row>
    <row r="96" spans="1:18" x14ac:dyDescent="0.4">
      <c r="A96" s="54"/>
      <c r="B96" s="55">
        <v>45453</v>
      </c>
      <c r="C96" s="56" t="s">
        <v>4</v>
      </c>
      <c r="D96" s="93" t="s">
        <v>171</v>
      </c>
      <c r="E96" s="97" t="s">
        <v>171</v>
      </c>
      <c r="F96" s="66"/>
      <c r="G96" s="91">
        <v>730</v>
      </c>
      <c r="H96" s="65"/>
      <c r="I96" s="59" t="s">
        <v>23</v>
      </c>
      <c r="J96" s="60"/>
      <c r="K96" s="61">
        <v>730</v>
      </c>
      <c r="L96" s="62"/>
      <c r="M96" s="63"/>
      <c r="N96" s="64">
        <f>IF(K96+L96+M96=0,"",K96+L96+M96)</f>
        <v>730</v>
      </c>
    </row>
    <row r="97" spans="1:14" x14ac:dyDescent="0.4">
      <c r="A97" s="54"/>
      <c r="B97" s="55">
        <v>45454</v>
      </c>
      <c r="C97" s="56" t="s">
        <v>4</v>
      </c>
      <c r="D97" s="93" t="s">
        <v>171</v>
      </c>
      <c r="E97" s="97" t="s">
        <v>171</v>
      </c>
      <c r="F97" s="57"/>
      <c r="G97" s="91">
        <v>900</v>
      </c>
      <c r="H97" s="65"/>
      <c r="I97" s="59" t="s">
        <v>23</v>
      </c>
      <c r="J97" s="60"/>
      <c r="K97" s="61">
        <v>900</v>
      </c>
      <c r="L97" s="62"/>
      <c r="M97" s="63"/>
      <c r="N97" s="64">
        <f t="shared" si="0"/>
        <v>900</v>
      </c>
    </row>
    <row r="98" spans="1:14" x14ac:dyDescent="0.4">
      <c r="A98" s="54"/>
      <c r="B98" s="55">
        <v>45455</v>
      </c>
      <c r="C98" s="56" t="s">
        <v>4</v>
      </c>
      <c r="D98" s="93" t="s">
        <v>171</v>
      </c>
      <c r="E98" s="97" t="s">
        <v>171</v>
      </c>
      <c r="F98" s="57"/>
      <c r="G98" s="91">
        <v>1078</v>
      </c>
      <c r="H98" s="65"/>
      <c r="I98" s="59" t="s">
        <v>23</v>
      </c>
      <c r="J98" s="60"/>
      <c r="K98" s="61">
        <v>1078</v>
      </c>
      <c r="L98" s="62"/>
      <c r="M98" s="63"/>
      <c r="N98" s="64">
        <f t="shared" si="0"/>
        <v>1078</v>
      </c>
    </row>
    <row r="99" spans="1:14" x14ac:dyDescent="0.4">
      <c r="A99" s="54"/>
      <c r="B99" s="55">
        <v>45456</v>
      </c>
      <c r="C99" s="56" t="s">
        <v>4</v>
      </c>
      <c r="D99" s="93" t="s">
        <v>171</v>
      </c>
      <c r="E99" s="97" t="s">
        <v>171</v>
      </c>
      <c r="F99" s="57"/>
      <c r="G99" s="91">
        <v>830</v>
      </c>
      <c r="H99" s="65"/>
      <c r="I99" s="59" t="s">
        <v>23</v>
      </c>
      <c r="J99" s="60"/>
      <c r="K99" s="61">
        <v>830</v>
      </c>
      <c r="L99" s="62"/>
      <c r="M99" s="63"/>
      <c r="N99" s="64">
        <f t="shared" si="0"/>
        <v>830</v>
      </c>
    </row>
    <row r="100" spans="1:14" x14ac:dyDescent="0.4">
      <c r="A100" s="54"/>
      <c r="B100" s="55">
        <v>45460</v>
      </c>
      <c r="C100" s="56" t="s">
        <v>4</v>
      </c>
      <c r="D100" s="93" t="s">
        <v>171</v>
      </c>
      <c r="E100" s="97" t="s">
        <v>171</v>
      </c>
      <c r="F100" s="57"/>
      <c r="G100" s="91">
        <v>780</v>
      </c>
      <c r="H100" s="65"/>
      <c r="I100" s="59" t="s">
        <v>23</v>
      </c>
      <c r="J100" s="60"/>
      <c r="K100" s="61">
        <v>780</v>
      </c>
      <c r="L100" s="62"/>
      <c r="M100" s="63"/>
      <c r="N100" s="64">
        <f t="shared" si="0"/>
        <v>780</v>
      </c>
    </row>
    <row r="101" spans="1:14" x14ac:dyDescent="0.4">
      <c r="A101" s="54"/>
      <c r="B101" s="55">
        <v>45461</v>
      </c>
      <c r="C101" s="56" t="s">
        <v>4</v>
      </c>
      <c r="D101" s="93" t="s">
        <v>171</v>
      </c>
      <c r="E101" s="97" t="s">
        <v>171</v>
      </c>
      <c r="F101" s="57"/>
      <c r="G101" s="91">
        <v>1280</v>
      </c>
      <c r="H101" s="65"/>
      <c r="I101" s="59" t="s">
        <v>23</v>
      </c>
      <c r="J101" s="60"/>
      <c r="K101" s="61">
        <v>1280</v>
      </c>
      <c r="L101" s="62"/>
      <c r="M101" s="63"/>
      <c r="N101" s="64">
        <f>IF(K101+L101+M101=0,"",K101+L101+M101)</f>
        <v>1280</v>
      </c>
    </row>
    <row r="102" spans="1:14" x14ac:dyDescent="0.4">
      <c r="A102" s="54"/>
      <c r="B102" s="55">
        <v>45462</v>
      </c>
      <c r="C102" s="56" t="s">
        <v>4</v>
      </c>
      <c r="D102" s="93" t="s">
        <v>171</v>
      </c>
      <c r="E102" s="97" t="s">
        <v>171</v>
      </c>
      <c r="F102" s="57"/>
      <c r="G102" s="91">
        <v>1180</v>
      </c>
      <c r="H102" s="65"/>
      <c r="I102" s="59" t="s">
        <v>23</v>
      </c>
      <c r="J102" s="60"/>
      <c r="K102" s="61">
        <v>1180</v>
      </c>
      <c r="L102" s="62"/>
      <c r="M102" s="63"/>
      <c r="N102" s="64">
        <f t="shared" si="0"/>
        <v>1180</v>
      </c>
    </row>
    <row r="103" spans="1:14" x14ac:dyDescent="0.4">
      <c r="A103" s="54"/>
      <c r="B103" s="55">
        <v>45462</v>
      </c>
      <c r="C103" s="56" t="s">
        <v>42</v>
      </c>
      <c r="D103" s="93" t="s">
        <v>172</v>
      </c>
      <c r="E103" s="97" t="s">
        <v>172</v>
      </c>
      <c r="F103" s="57"/>
      <c r="G103" s="91">
        <v>5720</v>
      </c>
      <c r="H103" s="65"/>
      <c r="I103" s="59" t="s">
        <v>23</v>
      </c>
      <c r="J103" s="60"/>
      <c r="K103" s="61">
        <v>1006</v>
      </c>
      <c r="L103" s="62">
        <v>4714</v>
      </c>
      <c r="M103" s="68"/>
      <c r="N103" s="64">
        <f t="shared" si="0"/>
        <v>5720</v>
      </c>
    </row>
    <row r="104" spans="1:14" x14ac:dyDescent="0.4">
      <c r="A104" s="54"/>
      <c r="B104" s="55">
        <v>45463</v>
      </c>
      <c r="C104" s="56" t="s">
        <v>4</v>
      </c>
      <c r="D104" s="93" t="s">
        <v>171</v>
      </c>
      <c r="E104" s="97" t="s">
        <v>171</v>
      </c>
      <c r="F104" s="57"/>
      <c r="G104" s="91">
        <v>900</v>
      </c>
      <c r="H104" s="65"/>
      <c r="I104" s="59" t="s">
        <v>23</v>
      </c>
      <c r="J104" s="60"/>
      <c r="K104" s="61">
        <v>900</v>
      </c>
      <c r="L104" s="62"/>
      <c r="M104" s="63"/>
      <c r="N104" s="64">
        <f t="shared" si="0"/>
        <v>900</v>
      </c>
    </row>
    <row r="105" spans="1:14" x14ac:dyDescent="0.4">
      <c r="A105" s="54"/>
      <c r="B105" s="55">
        <v>45464</v>
      </c>
      <c r="C105" s="56" t="s">
        <v>4</v>
      </c>
      <c r="D105" s="93" t="s">
        <v>170</v>
      </c>
      <c r="E105" s="97" t="s">
        <v>170</v>
      </c>
      <c r="F105" s="57"/>
      <c r="G105" s="91">
        <v>4543</v>
      </c>
      <c r="H105" s="65"/>
      <c r="I105" s="59" t="s">
        <v>23</v>
      </c>
      <c r="J105" s="60"/>
      <c r="K105" s="61">
        <v>4543</v>
      </c>
      <c r="L105" s="62"/>
      <c r="M105" s="63"/>
      <c r="N105" s="64">
        <f t="shared" si="0"/>
        <v>4543</v>
      </c>
    </row>
    <row r="106" spans="1:14" x14ac:dyDescent="0.4">
      <c r="A106" s="54"/>
      <c r="B106" s="55">
        <v>45470</v>
      </c>
      <c r="C106" s="56" t="s">
        <v>4</v>
      </c>
      <c r="D106" s="93" t="s">
        <v>171</v>
      </c>
      <c r="E106" s="97" t="s">
        <v>171</v>
      </c>
      <c r="F106" s="57"/>
      <c r="G106" s="91">
        <v>1210</v>
      </c>
      <c r="H106" s="65"/>
      <c r="I106" s="59" t="s">
        <v>23</v>
      </c>
      <c r="J106" s="60"/>
      <c r="K106" s="61">
        <v>1210</v>
      </c>
      <c r="L106" s="62"/>
      <c r="M106" s="63"/>
      <c r="N106" s="64">
        <f t="shared" si="0"/>
        <v>1210</v>
      </c>
    </row>
    <row r="107" spans="1:14" x14ac:dyDescent="0.4">
      <c r="A107" s="54"/>
      <c r="B107" s="55">
        <v>45471</v>
      </c>
      <c r="C107" s="56" t="s">
        <v>4</v>
      </c>
      <c r="D107" s="93" t="s">
        <v>170</v>
      </c>
      <c r="E107" s="97" t="s">
        <v>170</v>
      </c>
      <c r="F107" s="57"/>
      <c r="G107" s="91">
        <v>5000</v>
      </c>
      <c r="H107" s="65"/>
      <c r="I107" s="59" t="s">
        <v>23</v>
      </c>
      <c r="J107" s="60"/>
      <c r="K107" s="61">
        <v>5000</v>
      </c>
      <c r="L107" s="62"/>
      <c r="M107" s="63"/>
      <c r="N107" s="64">
        <f t="shared" si="0"/>
        <v>5000</v>
      </c>
    </row>
    <row r="108" spans="1:14" x14ac:dyDescent="0.4">
      <c r="A108" s="54"/>
      <c r="B108" s="55">
        <v>45474</v>
      </c>
      <c r="C108" s="56" t="s">
        <v>4</v>
      </c>
      <c r="D108" s="93" t="s">
        <v>171</v>
      </c>
      <c r="E108" s="97" t="s">
        <v>171</v>
      </c>
      <c r="F108" s="57"/>
      <c r="G108" s="91">
        <v>870</v>
      </c>
      <c r="H108" s="65"/>
      <c r="I108" s="59" t="s">
        <v>23</v>
      </c>
      <c r="J108" s="60"/>
      <c r="K108" s="61">
        <v>870</v>
      </c>
      <c r="L108" s="62"/>
      <c r="M108" s="63"/>
      <c r="N108" s="64">
        <f t="shared" si="0"/>
        <v>870</v>
      </c>
    </row>
    <row r="109" spans="1:14" x14ac:dyDescent="0.4">
      <c r="A109" s="54"/>
      <c r="B109" s="55">
        <v>45475</v>
      </c>
      <c r="C109" s="56" t="s">
        <v>4</v>
      </c>
      <c r="D109" s="93" t="s">
        <v>171</v>
      </c>
      <c r="E109" s="97" t="s">
        <v>171</v>
      </c>
      <c r="F109" s="57"/>
      <c r="G109" s="91">
        <v>980</v>
      </c>
      <c r="H109" s="65"/>
      <c r="I109" s="59" t="s">
        <v>23</v>
      </c>
      <c r="J109" s="60"/>
      <c r="K109" s="61">
        <v>980</v>
      </c>
      <c r="L109" s="62"/>
      <c r="M109" s="63"/>
      <c r="N109" s="64">
        <f t="shared" si="0"/>
        <v>980</v>
      </c>
    </row>
    <row r="110" spans="1:14" x14ac:dyDescent="0.4">
      <c r="A110" s="54"/>
      <c r="B110" s="55">
        <v>45476</v>
      </c>
      <c r="C110" s="56" t="s">
        <v>4</v>
      </c>
      <c r="D110" s="93" t="s">
        <v>170</v>
      </c>
      <c r="E110" s="97" t="s">
        <v>170</v>
      </c>
      <c r="F110" s="57"/>
      <c r="G110" s="91">
        <v>3694</v>
      </c>
      <c r="H110" s="65"/>
      <c r="I110" s="59" t="s">
        <v>23</v>
      </c>
      <c r="J110" s="60"/>
      <c r="K110" s="61">
        <v>3694</v>
      </c>
      <c r="L110" s="62"/>
      <c r="M110" s="63"/>
      <c r="N110" s="64">
        <f t="shared" si="0"/>
        <v>3694</v>
      </c>
    </row>
    <row r="111" spans="1:14" x14ac:dyDescent="0.4">
      <c r="A111" s="54"/>
      <c r="B111" s="55">
        <v>45479</v>
      </c>
      <c r="C111" s="56" t="s">
        <v>40</v>
      </c>
      <c r="D111" s="93" t="s">
        <v>172</v>
      </c>
      <c r="E111" s="97" t="s">
        <v>172</v>
      </c>
      <c r="F111" s="57"/>
      <c r="G111" s="91">
        <v>3454</v>
      </c>
      <c r="H111" s="65"/>
      <c r="I111" s="59" t="s">
        <v>23</v>
      </c>
      <c r="J111" s="60"/>
      <c r="K111" s="61">
        <v>3454</v>
      </c>
      <c r="L111" s="62"/>
      <c r="M111" s="63"/>
      <c r="N111" s="64">
        <f t="shared" si="0"/>
        <v>3454</v>
      </c>
    </row>
    <row r="112" spans="1:14" x14ac:dyDescent="0.4">
      <c r="A112" s="54"/>
      <c r="B112" s="55">
        <v>45479</v>
      </c>
      <c r="C112" s="56" t="s">
        <v>4</v>
      </c>
      <c r="D112" s="93" t="s">
        <v>171</v>
      </c>
      <c r="E112" s="97" t="s">
        <v>171</v>
      </c>
      <c r="F112" s="57"/>
      <c r="G112" s="91">
        <v>950</v>
      </c>
      <c r="H112" s="65"/>
      <c r="I112" s="59" t="s">
        <v>29</v>
      </c>
      <c r="J112" s="60"/>
      <c r="K112" s="61">
        <v>950</v>
      </c>
      <c r="L112" s="62"/>
      <c r="M112" s="63"/>
      <c r="N112" s="64">
        <f t="shared" si="0"/>
        <v>950</v>
      </c>
    </row>
    <row r="113" spans="1:14" x14ac:dyDescent="0.4">
      <c r="A113" s="54"/>
      <c r="B113" s="55">
        <v>45480</v>
      </c>
      <c r="C113" s="56" t="s">
        <v>4</v>
      </c>
      <c r="D113" s="93" t="s">
        <v>171</v>
      </c>
      <c r="E113" s="97" t="s">
        <v>171</v>
      </c>
      <c r="F113" s="57"/>
      <c r="G113" s="91">
        <v>1435</v>
      </c>
      <c r="H113" s="65"/>
      <c r="I113" s="59" t="s">
        <v>23</v>
      </c>
      <c r="J113" s="60"/>
      <c r="K113" s="61">
        <v>1435</v>
      </c>
      <c r="L113" s="62"/>
      <c r="M113" s="63"/>
      <c r="N113" s="64">
        <f t="shared" si="0"/>
        <v>1435</v>
      </c>
    </row>
    <row r="114" spans="1:14" x14ac:dyDescent="0.4">
      <c r="A114" s="54"/>
      <c r="B114" s="55">
        <v>45481</v>
      </c>
      <c r="C114" s="56" t="s">
        <v>4</v>
      </c>
      <c r="D114" s="93" t="s">
        <v>171</v>
      </c>
      <c r="E114" s="97" t="s">
        <v>171</v>
      </c>
      <c r="F114" s="57"/>
      <c r="G114" s="91">
        <v>1089</v>
      </c>
      <c r="H114" s="65"/>
      <c r="I114" s="59" t="s">
        <v>23</v>
      </c>
      <c r="J114" s="60"/>
      <c r="K114" s="61">
        <v>1089</v>
      </c>
      <c r="L114" s="62"/>
      <c r="M114" s="63"/>
      <c r="N114" s="64">
        <f t="shared" si="0"/>
        <v>1089</v>
      </c>
    </row>
    <row r="115" spans="1:14" x14ac:dyDescent="0.4">
      <c r="A115" s="54"/>
      <c r="B115" s="55">
        <v>45482</v>
      </c>
      <c r="C115" s="56" t="s">
        <v>4</v>
      </c>
      <c r="D115" s="93" t="s">
        <v>171</v>
      </c>
      <c r="E115" s="97" t="s">
        <v>171</v>
      </c>
      <c r="F115" s="57"/>
      <c r="G115" s="91">
        <v>1420</v>
      </c>
      <c r="H115" s="65"/>
      <c r="I115" s="59" t="s">
        <v>23</v>
      </c>
      <c r="J115" s="60"/>
      <c r="K115" s="61">
        <v>1420</v>
      </c>
      <c r="L115" s="62"/>
      <c r="M115" s="63"/>
      <c r="N115" s="64">
        <f t="shared" si="0"/>
        <v>1420</v>
      </c>
    </row>
    <row r="116" spans="1:14" x14ac:dyDescent="0.4">
      <c r="A116" s="54"/>
      <c r="B116" s="55">
        <v>45482</v>
      </c>
      <c r="C116" s="56" t="s">
        <v>4</v>
      </c>
      <c r="D116" s="93" t="s">
        <v>170</v>
      </c>
      <c r="E116" s="97" t="s">
        <v>170</v>
      </c>
      <c r="F116" s="57"/>
      <c r="G116" s="91">
        <v>7266</v>
      </c>
      <c r="H116" s="65"/>
      <c r="I116" s="59" t="s">
        <v>23</v>
      </c>
      <c r="J116" s="60"/>
      <c r="K116" s="61">
        <v>7266</v>
      </c>
      <c r="L116" s="62"/>
      <c r="M116" s="63"/>
      <c r="N116" s="64">
        <f t="shared" si="0"/>
        <v>7266</v>
      </c>
    </row>
    <row r="117" spans="1:14" x14ac:dyDescent="0.4">
      <c r="A117" s="3"/>
      <c r="B117" s="4">
        <v>45482</v>
      </c>
      <c r="C117" s="5" t="s">
        <v>42</v>
      </c>
      <c r="D117" s="95" t="s">
        <v>172</v>
      </c>
      <c r="E117" s="102" t="s">
        <v>172</v>
      </c>
      <c r="F117" s="20"/>
      <c r="G117" s="91">
        <v>5934</v>
      </c>
      <c r="H117" s="1"/>
      <c r="I117" s="9" t="s">
        <v>23</v>
      </c>
      <c r="J117" s="11"/>
      <c r="K117" s="25"/>
      <c r="L117" s="21">
        <v>5934</v>
      </c>
      <c r="M117" s="26"/>
      <c r="N117" s="27">
        <f t="shared" si="0"/>
        <v>5934</v>
      </c>
    </row>
    <row r="118" spans="1:14" x14ac:dyDescent="0.4">
      <c r="A118" s="3"/>
      <c r="B118" s="4">
        <v>45482</v>
      </c>
      <c r="C118" s="5" t="s">
        <v>4</v>
      </c>
      <c r="D118" s="95" t="s">
        <v>171</v>
      </c>
      <c r="E118" s="102" t="s">
        <v>171</v>
      </c>
      <c r="F118" s="22"/>
      <c r="G118" s="91">
        <v>870</v>
      </c>
      <c r="I118" s="9" t="s">
        <v>23</v>
      </c>
      <c r="J118" s="11"/>
      <c r="K118" s="25">
        <v>870</v>
      </c>
      <c r="L118" s="21"/>
      <c r="M118" s="26"/>
      <c r="N118" s="27">
        <f t="shared" si="0"/>
        <v>870</v>
      </c>
    </row>
    <row r="119" spans="1:14" x14ac:dyDescent="0.4">
      <c r="A119" s="3"/>
      <c r="B119" s="4">
        <v>45483</v>
      </c>
      <c r="C119" s="5" t="s">
        <v>4</v>
      </c>
      <c r="D119" s="95" t="s">
        <v>171</v>
      </c>
      <c r="E119" s="102" t="s">
        <v>171</v>
      </c>
      <c r="F119" s="22"/>
      <c r="G119" s="91">
        <v>630</v>
      </c>
      <c r="I119" s="9" t="s">
        <v>23</v>
      </c>
      <c r="J119" s="11"/>
      <c r="K119" s="25">
        <v>630</v>
      </c>
      <c r="L119" s="21"/>
      <c r="M119" s="26"/>
      <c r="N119" s="27">
        <f t="shared" si="0"/>
        <v>630</v>
      </c>
    </row>
    <row r="120" spans="1:14" x14ac:dyDescent="0.4">
      <c r="A120" s="3"/>
      <c r="B120" s="4">
        <v>45484</v>
      </c>
      <c r="C120" s="5" t="s">
        <v>4</v>
      </c>
      <c r="D120" s="95" t="s">
        <v>171</v>
      </c>
      <c r="E120" s="102" t="s">
        <v>171</v>
      </c>
      <c r="F120" s="22"/>
      <c r="G120" s="91">
        <v>1070</v>
      </c>
      <c r="I120" s="9" t="s">
        <v>23</v>
      </c>
      <c r="J120" s="11"/>
      <c r="K120" s="25">
        <v>1070</v>
      </c>
      <c r="L120" s="21"/>
      <c r="M120" s="26"/>
      <c r="N120" s="27">
        <f t="shared" si="0"/>
        <v>1070</v>
      </c>
    </row>
    <row r="121" spans="1:14" x14ac:dyDescent="0.4">
      <c r="A121" s="3"/>
      <c r="B121" s="4">
        <v>45485</v>
      </c>
      <c r="C121" s="5" t="s">
        <v>4</v>
      </c>
      <c r="D121" s="95" t="s">
        <v>171</v>
      </c>
      <c r="E121" s="102" t="s">
        <v>171</v>
      </c>
      <c r="F121" s="22"/>
      <c r="G121" s="91">
        <v>870</v>
      </c>
      <c r="I121" s="9" t="s">
        <v>23</v>
      </c>
      <c r="J121" s="11"/>
      <c r="K121" s="25">
        <v>870</v>
      </c>
      <c r="L121" s="21"/>
      <c r="M121" s="26"/>
      <c r="N121" s="27">
        <f t="shared" si="0"/>
        <v>870</v>
      </c>
    </row>
    <row r="122" spans="1:14" x14ac:dyDescent="0.4">
      <c r="A122" s="3"/>
      <c r="B122" s="4">
        <v>45486</v>
      </c>
      <c r="C122" s="5" t="s">
        <v>4</v>
      </c>
      <c r="D122" s="95" t="s">
        <v>171</v>
      </c>
      <c r="E122" s="102" t="s">
        <v>171</v>
      </c>
      <c r="F122" s="22"/>
      <c r="G122" s="91">
        <v>920</v>
      </c>
      <c r="I122" s="9" t="s">
        <v>23</v>
      </c>
      <c r="J122" s="11"/>
      <c r="K122" s="25">
        <v>920</v>
      </c>
      <c r="L122" s="21"/>
      <c r="M122" s="26"/>
      <c r="N122" s="27">
        <f t="shared" si="0"/>
        <v>920</v>
      </c>
    </row>
    <row r="123" spans="1:14" x14ac:dyDescent="0.4">
      <c r="A123" s="3"/>
      <c r="B123" s="4">
        <v>45489</v>
      </c>
      <c r="C123" s="5" t="s">
        <v>4</v>
      </c>
      <c r="D123" s="95" t="s">
        <v>170</v>
      </c>
      <c r="E123" s="102" t="s">
        <v>170</v>
      </c>
      <c r="F123" s="20"/>
      <c r="G123" s="91">
        <v>6894</v>
      </c>
      <c r="H123" s="1"/>
      <c r="I123" s="9" t="s">
        <v>23</v>
      </c>
      <c r="J123" s="11"/>
      <c r="K123" s="25">
        <v>6894</v>
      </c>
      <c r="L123" s="21"/>
      <c r="M123" s="26"/>
      <c r="N123" s="27">
        <f t="shared" si="0"/>
        <v>6894</v>
      </c>
    </row>
    <row r="124" spans="1:14" x14ac:dyDescent="0.4">
      <c r="A124" s="3"/>
      <c r="B124" s="4">
        <v>45489</v>
      </c>
      <c r="C124" s="5" t="s">
        <v>4</v>
      </c>
      <c r="D124" s="95" t="s">
        <v>173</v>
      </c>
      <c r="E124" s="102" t="s">
        <v>173</v>
      </c>
      <c r="F124" s="22"/>
      <c r="G124" s="91">
        <v>310</v>
      </c>
      <c r="I124" s="9" t="s">
        <v>23</v>
      </c>
      <c r="J124" s="11"/>
      <c r="K124" s="25">
        <v>310</v>
      </c>
      <c r="L124" s="21"/>
      <c r="M124" s="26"/>
      <c r="N124" s="27">
        <f t="shared" si="0"/>
        <v>310</v>
      </c>
    </row>
    <row r="125" spans="1:14" x14ac:dyDescent="0.4">
      <c r="A125" s="3"/>
      <c r="B125" s="4">
        <v>45489</v>
      </c>
      <c r="C125" s="5" t="s">
        <v>4</v>
      </c>
      <c r="D125" s="95" t="s">
        <v>171</v>
      </c>
      <c r="E125" s="102" t="s">
        <v>171</v>
      </c>
      <c r="F125" s="22"/>
      <c r="G125" s="91">
        <v>1730</v>
      </c>
      <c r="I125" s="9" t="s">
        <v>23</v>
      </c>
      <c r="J125" s="11"/>
      <c r="K125" s="25">
        <v>1730</v>
      </c>
      <c r="L125" s="21"/>
      <c r="M125" s="26"/>
      <c r="N125" s="27">
        <f t="shared" si="0"/>
        <v>1730</v>
      </c>
    </row>
    <row r="126" spans="1:14" x14ac:dyDescent="0.4">
      <c r="A126" s="3"/>
      <c r="B126" s="4">
        <v>45490</v>
      </c>
      <c r="C126" s="5" t="s">
        <v>4</v>
      </c>
      <c r="D126" s="95" t="s">
        <v>171</v>
      </c>
      <c r="E126" s="102" t="s">
        <v>171</v>
      </c>
      <c r="F126" s="22"/>
      <c r="G126" s="91">
        <v>1900</v>
      </c>
      <c r="I126" s="9" t="s">
        <v>23</v>
      </c>
      <c r="J126" s="11"/>
      <c r="K126" s="25">
        <v>1900</v>
      </c>
      <c r="L126" s="21"/>
      <c r="M126" s="26"/>
      <c r="N126" s="27">
        <f t="shared" si="0"/>
        <v>1900</v>
      </c>
    </row>
    <row r="127" spans="1:14" x14ac:dyDescent="0.4">
      <c r="A127" s="3"/>
      <c r="B127" s="4">
        <v>45491</v>
      </c>
      <c r="C127" s="5" t="s">
        <v>4</v>
      </c>
      <c r="D127" s="95" t="s">
        <v>171</v>
      </c>
      <c r="E127" s="102" t="s">
        <v>171</v>
      </c>
      <c r="F127" s="22"/>
      <c r="G127" s="92">
        <v>2120</v>
      </c>
      <c r="I127" s="9" t="s">
        <v>23</v>
      </c>
      <c r="J127" s="11"/>
      <c r="K127" s="25">
        <v>2120</v>
      </c>
      <c r="L127" s="21"/>
      <c r="M127" s="26"/>
      <c r="N127" s="27">
        <f t="shared" si="0"/>
        <v>2120</v>
      </c>
    </row>
    <row r="128" spans="1:14" x14ac:dyDescent="0.4">
      <c r="A128" s="3"/>
      <c r="B128" s="4"/>
      <c r="C128" s="5"/>
      <c r="D128" s="95" t="s">
        <v>186</v>
      </c>
      <c r="E128" s="96"/>
      <c r="F128" s="22"/>
      <c r="G128" s="22"/>
      <c r="I128" s="9"/>
      <c r="J128" s="11"/>
      <c r="K128" s="25"/>
      <c r="L128" s="21"/>
      <c r="M128" s="26"/>
      <c r="N128" s="27" t="str">
        <f t="shared" ref="N128" si="16">IF(K128+L128+M128=0,"",K128+L128+M128)</f>
        <v/>
      </c>
    </row>
    <row r="129" spans="1:18" x14ac:dyDescent="0.4">
      <c r="A129" s="3"/>
      <c r="B129" s="4">
        <v>45498</v>
      </c>
      <c r="C129" s="5" t="s">
        <v>4</v>
      </c>
      <c r="D129" s="95" t="s">
        <v>174</v>
      </c>
      <c r="E129" s="96"/>
      <c r="F129" s="20"/>
      <c r="G129" s="21">
        <v>3380</v>
      </c>
      <c r="H129" s="1"/>
      <c r="I129" s="9" t="s">
        <v>23</v>
      </c>
      <c r="J129" s="11"/>
      <c r="K129" s="25">
        <v>3380</v>
      </c>
      <c r="L129" s="21"/>
      <c r="M129" s="26"/>
      <c r="N129" s="27">
        <f t="shared" si="0"/>
        <v>3380</v>
      </c>
      <c r="O129" s="28"/>
      <c r="P129" s="69">
        <f t="shared" ref="P129:P137" si="17">ROUNDDOWN($K129/110*10,0)</f>
        <v>307</v>
      </c>
      <c r="Q129" s="70">
        <f t="shared" ref="Q129:Q137" si="18">ROUNDDOWN($L129/108*8,0)</f>
        <v>0</v>
      </c>
      <c r="R129" s="27">
        <f t="shared" ref="R129:R137" si="19">P129+Q129</f>
        <v>307</v>
      </c>
    </row>
    <row r="130" spans="1:18" x14ac:dyDescent="0.4">
      <c r="A130" s="3"/>
      <c r="B130" s="4">
        <v>45498</v>
      </c>
      <c r="C130" s="5" t="s">
        <v>4</v>
      </c>
      <c r="D130" s="95" t="s">
        <v>175</v>
      </c>
      <c r="E130" s="96"/>
      <c r="F130" s="22"/>
      <c r="G130" s="22">
        <v>5790</v>
      </c>
      <c r="I130" s="9" t="s">
        <v>23</v>
      </c>
      <c r="J130" s="11"/>
      <c r="K130" s="25">
        <v>5790</v>
      </c>
      <c r="L130" s="21"/>
      <c r="M130" s="26"/>
      <c r="N130" s="27">
        <f t="shared" si="0"/>
        <v>5790</v>
      </c>
      <c r="O130" s="28"/>
      <c r="P130" s="69">
        <f t="shared" si="17"/>
        <v>526</v>
      </c>
      <c r="Q130" s="70">
        <f t="shared" si="18"/>
        <v>0</v>
      </c>
      <c r="R130" s="27">
        <f t="shared" si="19"/>
        <v>526</v>
      </c>
    </row>
    <row r="131" spans="1:18" x14ac:dyDescent="0.4">
      <c r="A131" s="3"/>
      <c r="B131" s="4">
        <v>45498</v>
      </c>
      <c r="C131" s="5" t="s">
        <v>4</v>
      </c>
      <c r="D131" s="95" t="s">
        <v>56</v>
      </c>
      <c r="E131" s="96"/>
      <c r="F131" s="22"/>
      <c r="G131" s="22">
        <v>5700</v>
      </c>
      <c r="I131" s="9" t="s">
        <v>23</v>
      </c>
      <c r="J131" s="11"/>
      <c r="K131" s="25">
        <v>5700</v>
      </c>
      <c r="L131" s="21"/>
      <c r="M131" s="26"/>
      <c r="N131" s="27">
        <f t="shared" si="0"/>
        <v>5700</v>
      </c>
      <c r="O131" s="28"/>
      <c r="P131" s="69">
        <f t="shared" si="17"/>
        <v>518</v>
      </c>
      <c r="Q131" s="70">
        <f t="shared" si="18"/>
        <v>0</v>
      </c>
      <c r="R131" s="27">
        <f t="shared" si="19"/>
        <v>518</v>
      </c>
    </row>
    <row r="132" spans="1:18" x14ac:dyDescent="0.4">
      <c r="A132" s="3"/>
      <c r="B132" s="4">
        <v>45498</v>
      </c>
      <c r="C132" s="5" t="s">
        <v>4</v>
      </c>
      <c r="D132" s="95" t="s">
        <v>176</v>
      </c>
      <c r="E132" s="96"/>
      <c r="F132" s="22"/>
      <c r="G132" s="22">
        <v>1530</v>
      </c>
      <c r="I132" s="9" t="s">
        <v>23</v>
      </c>
      <c r="J132" s="11"/>
      <c r="K132" s="25">
        <v>1530</v>
      </c>
      <c r="L132" s="21"/>
      <c r="M132" s="26"/>
      <c r="N132" s="27">
        <f t="shared" si="0"/>
        <v>1530</v>
      </c>
      <c r="O132" s="28"/>
      <c r="P132" s="69">
        <f t="shared" si="17"/>
        <v>139</v>
      </c>
      <c r="Q132" s="70">
        <f t="shared" si="18"/>
        <v>0</v>
      </c>
      <c r="R132" s="27">
        <f t="shared" si="19"/>
        <v>139</v>
      </c>
    </row>
    <row r="133" spans="1:18" x14ac:dyDescent="0.4">
      <c r="A133" s="3"/>
      <c r="B133" s="4">
        <v>45498</v>
      </c>
      <c r="C133" s="5" t="s">
        <v>4</v>
      </c>
      <c r="D133" s="95" t="s">
        <v>15</v>
      </c>
      <c r="E133" s="96"/>
      <c r="F133" s="22"/>
      <c r="G133" s="22">
        <v>8340</v>
      </c>
      <c r="I133" s="9" t="s">
        <v>23</v>
      </c>
      <c r="J133" s="11"/>
      <c r="K133" s="25">
        <v>8340</v>
      </c>
      <c r="L133" s="21"/>
      <c r="M133" s="26"/>
      <c r="N133" s="27">
        <f t="shared" si="0"/>
        <v>8340</v>
      </c>
      <c r="O133" s="28"/>
      <c r="P133" s="69">
        <f t="shared" si="17"/>
        <v>758</v>
      </c>
      <c r="Q133" s="70">
        <f t="shared" si="18"/>
        <v>0</v>
      </c>
      <c r="R133" s="27">
        <f t="shared" si="19"/>
        <v>758</v>
      </c>
    </row>
    <row r="134" spans="1:18" x14ac:dyDescent="0.4">
      <c r="A134" s="3"/>
      <c r="B134" s="4">
        <v>45498</v>
      </c>
      <c r="C134" s="5" t="s">
        <v>4</v>
      </c>
      <c r="D134" s="95" t="s">
        <v>177</v>
      </c>
      <c r="E134" s="96"/>
      <c r="F134" s="22"/>
      <c r="G134" s="22">
        <v>8780</v>
      </c>
      <c r="I134" s="9" t="s">
        <v>23</v>
      </c>
      <c r="J134" s="11"/>
      <c r="K134" s="25">
        <v>8780</v>
      </c>
      <c r="L134" s="21"/>
      <c r="M134" s="26"/>
      <c r="N134" s="27">
        <f t="shared" si="0"/>
        <v>8780</v>
      </c>
      <c r="O134" s="28"/>
      <c r="P134" s="69">
        <f t="shared" si="17"/>
        <v>798</v>
      </c>
      <c r="Q134" s="70">
        <f t="shared" si="18"/>
        <v>0</v>
      </c>
      <c r="R134" s="27">
        <f t="shared" si="19"/>
        <v>798</v>
      </c>
    </row>
    <row r="135" spans="1:18" x14ac:dyDescent="0.4">
      <c r="A135" s="3"/>
      <c r="B135" s="4">
        <v>45498</v>
      </c>
      <c r="C135" s="5" t="s">
        <v>4</v>
      </c>
      <c r="D135" s="95" t="s">
        <v>187</v>
      </c>
      <c r="E135" s="96"/>
      <c r="F135" s="22"/>
      <c r="G135" s="22">
        <v>406</v>
      </c>
      <c r="I135" s="9" t="s">
        <v>23</v>
      </c>
      <c r="J135" s="11"/>
      <c r="K135" s="25">
        <v>406</v>
      </c>
      <c r="L135" s="21"/>
      <c r="M135" s="26"/>
      <c r="N135" s="27">
        <f t="shared" si="0"/>
        <v>406</v>
      </c>
      <c r="O135" s="28"/>
      <c r="P135" s="69">
        <f t="shared" si="17"/>
        <v>36</v>
      </c>
      <c r="Q135" s="70">
        <f t="shared" si="18"/>
        <v>0</v>
      </c>
      <c r="R135" s="27">
        <f t="shared" si="19"/>
        <v>36</v>
      </c>
    </row>
    <row r="136" spans="1:18" x14ac:dyDescent="0.4">
      <c r="A136" s="3"/>
      <c r="B136" s="4">
        <v>45498</v>
      </c>
      <c r="C136" s="5" t="s">
        <v>4</v>
      </c>
      <c r="D136" s="95" t="s">
        <v>188</v>
      </c>
      <c r="E136" s="96"/>
      <c r="F136" s="22"/>
      <c r="G136" s="22">
        <v>406</v>
      </c>
      <c r="I136" s="9" t="s">
        <v>23</v>
      </c>
      <c r="J136" s="11"/>
      <c r="K136" s="25">
        <v>406</v>
      </c>
      <c r="L136" s="21"/>
      <c r="M136" s="26"/>
      <c r="N136" s="27">
        <f t="shared" si="0"/>
        <v>406</v>
      </c>
      <c r="O136" s="28"/>
      <c r="P136" s="69">
        <f t="shared" si="17"/>
        <v>36</v>
      </c>
      <c r="Q136" s="70">
        <f t="shared" si="18"/>
        <v>0</v>
      </c>
      <c r="R136" s="27">
        <f t="shared" si="19"/>
        <v>36</v>
      </c>
    </row>
    <row r="137" spans="1:18" x14ac:dyDescent="0.4">
      <c r="A137" s="3"/>
      <c r="B137" s="4">
        <v>45498</v>
      </c>
      <c r="C137" s="5" t="s">
        <v>4</v>
      </c>
      <c r="D137" s="95" t="s">
        <v>51</v>
      </c>
      <c r="E137" s="96"/>
      <c r="F137" s="22"/>
      <c r="G137" s="22">
        <v>6930</v>
      </c>
      <c r="I137" s="9" t="s">
        <v>23</v>
      </c>
      <c r="J137" s="11"/>
      <c r="K137" s="25">
        <v>6930</v>
      </c>
      <c r="L137" s="21"/>
      <c r="M137" s="26"/>
      <c r="N137" s="27">
        <f t="shared" si="0"/>
        <v>6930</v>
      </c>
      <c r="O137" s="28"/>
      <c r="P137" s="69">
        <f t="shared" si="17"/>
        <v>630</v>
      </c>
      <c r="Q137" s="70">
        <f t="shared" si="18"/>
        <v>0</v>
      </c>
      <c r="R137" s="27">
        <f t="shared" si="19"/>
        <v>630</v>
      </c>
    </row>
    <row r="138" spans="1:18" x14ac:dyDescent="0.4">
      <c r="A138" s="3"/>
      <c r="B138" s="4"/>
      <c r="C138" s="5"/>
      <c r="D138" s="95"/>
      <c r="E138" s="96"/>
      <c r="F138" s="22"/>
      <c r="G138" s="22"/>
      <c r="I138" s="9"/>
      <c r="J138" s="11"/>
      <c r="K138" s="25"/>
      <c r="L138" s="21"/>
      <c r="M138" s="26"/>
      <c r="N138" s="27" t="str">
        <f t="shared" si="0"/>
        <v/>
      </c>
    </row>
    <row r="139" spans="1:18" ht="19.5" thickBot="1" x14ac:dyDescent="0.45">
      <c r="A139" s="3"/>
      <c r="B139" s="4"/>
      <c r="C139" s="5"/>
      <c r="D139" s="95"/>
      <c r="E139" s="96"/>
      <c r="F139" s="22"/>
      <c r="G139" s="22"/>
      <c r="I139" s="9"/>
      <c r="J139" s="11"/>
      <c r="K139" s="25"/>
      <c r="L139" s="21"/>
      <c r="M139" s="26"/>
      <c r="N139" s="27" t="str">
        <f t="shared" ref="N139" si="20">IF(K139+L139+M139=0,"",K139+L139+M139)</f>
        <v/>
      </c>
    </row>
    <row r="140" spans="1:18" ht="19.5" thickBot="1" x14ac:dyDescent="0.45">
      <c r="A140" s="2"/>
      <c r="B140" s="2"/>
      <c r="C140" s="2"/>
      <c r="D140" s="39"/>
      <c r="E140" s="43" t="s">
        <v>13</v>
      </c>
      <c r="F140" s="40"/>
      <c r="G140" s="41">
        <f>SUM(G2:G139)</f>
        <v>414826</v>
      </c>
      <c r="I140" s="2"/>
      <c r="K140" s="34">
        <f>SUM(K2:K139)</f>
        <v>222718</v>
      </c>
      <c r="L140" s="24">
        <f>SUM(L2:L139)</f>
        <v>192108</v>
      </c>
      <c r="M140" s="35">
        <f>SUM(M2:M139)</f>
        <v>0</v>
      </c>
      <c r="N140" s="36">
        <f>SUM(N2:N139)</f>
        <v>414826</v>
      </c>
    </row>
  </sheetData>
  <sheetProtection formatColumns="0" pivotTables="0"/>
  <mergeCells count="138">
    <mergeCell ref="D90:E90"/>
    <mergeCell ref="D91:E91"/>
    <mergeCell ref="D92:E92"/>
    <mergeCell ref="D93:E93"/>
    <mergeCell ref="D128:E128"/>
    <mergeCell ref="D129:E129"/>
    <mergeCell ref="D130:E130"/>
    <mergeCell ref="D131:E131"/>
    <mergeCell ref="D132:E13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26:E126"/>
    <mergeCell ref="D127:E127"/>
    <mergeCell ref="D133:E133"/>
    <mergeCell ref="D134:E134"/>
    <mergeCell ref="D135:E135"/>
    <mergeCell ref="D136:E136"/>
    <mergeCell ref="D137:E137"/>
    <mergeCell ref="D96:E96"/>
    <mergeCell ref="D97:E97"/>
    <mergeCell ref="D98:E98"/>
    <mergeCell ref="D99:E99"/>
    <mergeCell ref="D100:E100"/>
    <mergeCell ref="D101:E101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22:E122"/>
    <mergeCell ref="D2:E2"/>
    <mergeCell ref="D13:E13"/>
    <mergeCell ref="D75:E75"/>
    <mergeCell ref="D81:E81"/>
    <mergeCell ref="D94:E94"/>
    <mergeCell ref="D95:E95"/>
    <mergeCell ref="D9:E9"/>
    <mergeCell ref="D10:E10"/>
    <mergeCell ref="D11:E11"/>
    <mergeCell ref="D12:E12"/>
    <mergeCell ref="D82:E82"/>
    <mergeCell ref="D83:E83"/>
    <mergeCell ref="D84:E84"/>
    <mergeCell ref="D85:E85"/>
    <mergeCell ref="D86:E86"/>
    <mergeCell ref="D87:E87"/>
    <mergeCell ref="D88:E88"/>
    <mergeCell ref="D89:E89"/>
    <mergeCell ref="D14:E14"/>
    <mergeCell ref="D15:E15"/>
    <mergeCell ref="D16:E16"/>
    <mergeCell ref="D17:E17"/>
    <mergeCell ref="D18:E18"/>
    <mergeCell ref="D19:E19"/>
    <mergeCell ref="D139:E139"/>
    <mergeCell ref="D3:E3"/>
    <mergeCell ref="D4:E4"/>
    <mergeCell ref="D5:E5"/>
    <mergeCell ref="D6:E6"/>
    <mergeCell ref="D7:E7"/>
    <mergeCell ref="D8:E8"/>
    <mergeCell ref="D138:E138"/>
    <mergeCell ref="D120:E120"/>
    <mergeCell ref="D121:E121"/>
    <mergeCell ref="D26:E26"/>
    <mergeCell ref="D27:E27"/>
    <mergeCell ref="D28:E28"/>
    <mergeCell ref="D29:E29"/>
    <mergeCell ref="D30:E30"/>
    <mergeCell ref="D31:E31"/>
    <mergeCell ref="D41:E41"/>
    <mergeCell ref="D42:E42"/>
    <mergeCell ref="D43:E43"/>
    <mergeCell ref="D50:E50"/>
    <mergeCell ref="D51:E51"/>
    <mergeCell ref="D52:E52"/>
    <mergeCell ref="D53:E53"/>
    <mergeCell ref="D54:E54"/>
    <mergeCell ref="D55:E55"/>
    <mergeCell ref="D44:E44"/>
    <mergeCell ref="D45:E45"/>
    <mergeCell ref="D46:E46"/>
    <mergeCell ref="D20:E20"/>
    <mergeCell ref="D21:E21"/>
    <mergeCell ref="D22:E22"/>
    <mergeCell ref="D23:E23"/>
    <mergeCell ref="D24:E24"/>
    <mergeCell ref="D25:E25"/>
    <mergeCell ref="D38:E38"/>
    <mergeCell ref="D39:E39"/>
    <mergeCell ref="D40:E40"/>
    <mergeCell ref="D32:E32"/>
    <mergeCell ref="D33:E33"/>
    <mergeCell ref="D34:E34"/>
    <mergeCell ref="D35:E35"/>
    <mergeCell ref="D36:E36"/>
    <mergeCell ref="D37:E37"/>
    <mergeCell ref="D47:E47"/>
    <mergeCell ref="D48:E48"/>
    <mergeCell ref="D49:E49"/>
    <mergeCell ref="D62:E62"/>
    <mergeCell ref="D63:E63"/>
    <mergeCell ref="D64:E64"/>
    <mergeCell ref="D65:E65"/>
    <mergeCell ref="D66:E66"/>
    <mergeCell ref="D67:E67"/>
    <mergeCell ref="D56:E56"/>
    <mergeCell ref="D57:E57"/>
    <mergeCell ref="D58:E58"/>
    <mergeCell ref="D59:E59"/>
    <mergeCell ref="D60:E60"/>
    <mergeCell ref="D61:E61"/>
    <mergeCell ref="D74:E74"/>
    <mergeCell ref="D76:E76"/>
    <mergeCell ref="D77:E77"/>
    <mergeCell ref="D78:E78"/>
    <mergeCell ref="D79:E79"/>
    <mergeCell ref="D80:E80"/>
    <mergeCell ref="D68:E68"/>
    <mergeCell ref="D69:E69"/>
    <mergeCell ref="D70:E70"/>
    <mergeCell ref="D71:E71"/>
    <mergeCell ref="D72:E72"/>
    <mergeCell ref="D73:E73"/>
  </mergeCells>
  <phoneticPr fontId="2"/>
  <conditionalFormatting sqref="P3:R12">
    <cfRule type="cellIs" dxfId="4" priority="7" operator="equal">
      <formula>0</formula>
    </cfRule>
  </conditionalFormatting>
  <conditionalFormatting sqref="P14:R74">
    <cfRule type="cellIs" dxfId="3" priority="5" operator="equal">
      <formula>0</formula>
    </cfRule>
  </conditionalFormatting>
  <conditionalFormatting sqref="P76:R80">
    <cfRule type="cellIs" dxfId="2" priority="4" operator="equal">
      <formula>0</formula>
    </cfRule>
  </conditionalFormatting>
  <conditionalFormatting sqref="P82:R93">
    <cfRule type="cellIs" dxfId="1" priority="1" operator="equal">
      <formula>0</formula>
    </cfRule>
  </conditionalFormatting>
  <conditionalFormatting sqref="P129:R137">
    <cfRule type="cellIs" dxfId="0" priority="2" operator="equal">
      <formula>0</formula>
    </cfRule>
  </conditionalFormatting>
  <dataValidations count="3">
    <dataValidation type="list" allowBlank="1" showInputMessage="1" showErrorMessage="1" sqref="C2:C139" xr:uid="{37E190F4-F1A8-4094-A81F-B9A00295A69C}">
      <formula1>"旅費交通費,仕入材料,現場関係費,交際費,厚生費,水道光熱費,通信費,租税公課,事務消耗品費,運賃,消耗品費,諸会費,諸雑費"</formula1>
    </dataValidation>
    <dataValidation allowBlank="1" showInputMessage="1" showErrorMessage="1" promptTitle="西暦入力" prompt="〇〇〇〇/〇〇/〇〇で入力ください。" sqref="B2:B139" xr:uid="{5C31FCED-8A11-4D72-A5C1-47428AB37EFB}"/>
    <dataValidation type="list" allowBlank="1" showInputMessage="1" showErrorMessage="1" sqref="I2:J139" xr:uid="{5864FE97-21D2-4D7C-956C-3FD92E493CA4}">
      <formula1>"有,無,不要"</formula1>
    </dataValidation>
  </dataValidations>
  <pageMargins left="0.51181102362204722" right="0.11811023622047245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C5E8-B5B3-4CBB-81C3-DAF786336E3A}">
  <dimension ref="A3:A11"/>
  <sheetViews>
    <sheetView workbookViewId="0">
      <selection activeCell="C23" sqref="C23"/>
    </sheetView>
  </sheetViews>
  <sheetFormatPr defaultRowHeight="18.75" x14ac:dyDescent="0.4"/>
  <cols>
    <col min="1" max="1" width="20.5" bestFit="1" customWidth="1"/>
  </cols>
  <sheetData>
    <row r="3" spans="1:1" x14ac:dyDescent="0.4">
      <c r="A3" s="44" t="s">
        <v>17</v>
      </c>
    </row>
    <row r="4" spans="1:1" x14ac:dyDescent="0.4">
      <c r="A4" s="45" t="s">
        <v>18</v>
      </c>
    </row>
    <row r="5" spans="1:1" x14ac:dyDescent="0.4">
      <c r="A5" s="46" t="s">
        <v>18</v>
      </c>
    </row>
    <row r="6" spans="1:1" x14ac:dyDescent="0.4">
      <c r="A6" s="47" t="s">
        <v>18</v>
      </c>
    </row>
    <row r="7" spans="1:1" x14ac:dyDescent="0.4">
      <c r="A7" s="48" t="s">
        <v>18</v>
      </c>
    </row>
    <row r="8" spans="1:1" x14ac:dyDescent="0.4">
      <c r="A8" s="49" t="s">
        <v>18</v>
      </c>
    </row>
    <row r="9" spans="1:1" x14ac:dyDescent="0.4">
      <c r="A9" s="50"/>
    </row>
    <row r="10" spans="1:1" x14ac:dyDescent="0.4">
      <c r="A10" s="50" t="s">
        <v>18</v>
      </c>
    </row>
    <row r="11" spans="1:1" x14ac:dyDescent="0.4">
      <c r="A11" s="45" t="s">
        <v>19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原本</vt:lpstr>
      <vt:lpstr>202404</vt:lpstr>
      <vt:lpstr>202405</vt:lpstr>
      <vt:lpstr>202406</vt:lpstr>
      <vt:lpstr>202407</vt:lpstr>
      <vt:lpstr>集計シート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PC201911-40D</dc:creator>
  <cp:lastModifiedBy>PC201911-40D</cp:lastModifiedBy>
  <cp:lastPrinted>2023-08-30T02:37:10Z</cp:lastPrinted>
  <dcterms:created xsi:type="dcterms:W3CDTF">2022-12-09T07:49:38Z</dcterms:created>
  <dcterms:modified xsi:type="dcterms:W3CDTF">2024-08-15T07:49:09Z</dcterms:modified>
</cp:coreProperties>
</file>